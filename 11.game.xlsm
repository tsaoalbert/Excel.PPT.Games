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sao/my.game/"/>
    </mc:Choice>
  </mc:AlternateContent>
  <xr:revisionPtr revIDLastSave="0" documentId="13_ncr:1_{6E9CB074-9AF3-B945-8ABD-89A180371044}" xr6:coauthVersionLast="43" xr6:coauthVersionMax="43" xr10:uidLastSave="{00000000-0000-0000-0000-000000000000}"/>
  <bookViews>
    <workbookView xWindow="0" yWindow="460" windowWidth="28800" windowHeight="16240" tabRatio="500" xr2:uid="{00000000-000D-0000-FFFF-FFFF00000000}"/>
  </bookViews>
  <sheets>
    <sheet name="Connect5" sheetId="17" r:id="rId1"/>
    <sheet name="matrix multiplication" sheetId="21" r:id="rId2"/>
    <sheet name="Compund" sheetId="6" r:id="rId3"/>
    <sheet name="5W3S" sheetId="15" r:id="rId4"/>
    <sheet name="Mul Table" sheetId="4" r:id="rId5"/>
    <sheet name="Pascal Triangle" sheetId="5" r:id="rId6"/>
    <sheet name="Sheet2" sheetId="19" r:id="rId7"/>
    <sheet name="Sheet3" sheetId="13" r:id="rId8"/>
    <sheet name="Sheet4" sheetId="20" r:id="rId9"/>
    <sheet name="TicTacToe" sheetId="18" r:id="rId10"/>
    <sheet name="Time Table" sheetId="16" r:id="rId11"/>
    <sheet name="maze" sheetId="10" r:id="rId12"/>
  </sheets>
  <externalReferences>
    <externalReference r:id="rId13"/>
  </externalReferences>
  <definedNames>
    <definedName name="AidCode">[1]Debug!$N$16</definedName>
    <definedName name="HighlightNumber">[1]Debug!$N$17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7" i="17" l="1"/>
  <c r="AP10" i="17" l="1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Z13" i="17"/>
  <c r="AA13" i="17"/>
  <c r="AB13" i="17"/>
  <c r="AC13" i="17"/>
  <c r="AD13" i="17"/>
  <c r="AE13" i="17"/>
  <c r="AF13" i="17"/>
  <c r="AG13" i="17"/>
  <c r="AH13" i="17"/>
  <c r="AI13" i="17"/>
  <c r="AJ13" i="17"/>
  <c r="AK13" i="17"/>
  <c r="AL13" i="17"/>
  <c r="AM13" i="17"/>
  <c r="AN13" i="17"/>
  <c r="AO13" i="17"/>
  <c r="AP13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Z16" i="17"/>
  <c r="AA16" i="17"/>
  <c r="AB16" i="17"/>
  <c r="AC16" i="17"/>
  <c r="AD16" i="17"/>
  <c r="AE16" i="17"/>
  <c r="AF16" i="17"/>
  <c r="AG16" i="17"/>
  <c r="AH16" i="17"/>
  <c r="AI16" i="17"/>
  <c r="AJ16" i="17"/>
  <c r="AK16" i="17"/>
  <c r="AL16" i="17"/>
  <c r="AM16" i="17"/>
  <c r="AN16" i="17"/>
  <c r="AO16" i="17"/>
  <c r="AP16" i="17"/>
  <c r="Z17" i="17"/>
  <c r="AA17" i="17"/>
  <c r="AB17" i="17"/>
  <c r="AC17" i="17"/>
  <c r="AD17" i="17"/>
  <c r="AE17" i="17"/>
  <c r="AF17" i="17"/>
  <c r="AG17" i="17"/>
  <c r="AH17" i="17"/>
  <c r="AI17" i="17"/>
  <c r="AJ17" i="17"/>
  <c r="AK17" i="17"/>
  <c r="AL17" i="17"/>
  <c r="AM17" i="17"/>
  <c r="AN17" i="17"/>
  <c r="AO17" i="17"/>
  <c r="AP17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Z19" i="17"/>
  <c r="AA19" i="17"/>
  <c r="AB19" i="17"/>
  <c r="AC19" i="17"/>
  <c r="AD19" i="17"/>
  <c r="AE19" i="17"/>
  <c r="AF19" i="17"/>
  <c r="AG19" i="17"/>
  <c r="AH19" i="17"/>
  <c r="AI19" i="17"/>
  <c r="AJ19" i="17"/>
  <c r="AK19" i="17"/>
  <c r="AL19" i="17"/>
  <c r="AM19" i="17"/>
  <c r="AN19" i="17"/>
  <c r="AO19" i="17"/>
  <c r="AP19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Z24" i="17"/>
  <c r="AA24" i="17"/>
  <c r="AB24" i="17"/>
  <c r="AC24" i="17"/>
  <c r="AD24" i="17"/>
  <c r="AE24" i="17"/>
  <c r="AF24" i="17"/>
  <c r="AG24" i="17"/>
  <c r="AH24" i="17"/>
  <c r="AI24" i="17"/>
  <c r="AJ24" i="17"/>
  <c r="AK24" i="17"/>
  <c r="AL24" i="17"/>
  <c r="AM24" i="17"/>
  <c r="AN24" i="17"/>
  <c r="AO24" i="17"/>
  <c r="AP24" i="17"/>
  <c r="Z25" i="17"/>
  <c r="AA25" i="17"/>
  <c r="AB25" i="17"/>
  <c r="AC25" i="17"/>
  <c r="AD25" i="17"/>
  <c r="AE25" i="17"/>
  <c r="AF25" i="17"/>
  <c r="AG25" i="17"/>
  <c r="AH25" i="17"/>
  <c r="AI25" i="17"/>
  <c r="AJ25" i="17"/>
  <c r="AK25" i="17"/>
  <c r="AL25" i="17"/>
  <c r="AM25" i="17"/>
  <c r="AN25" i="17"/>
  <c r="AO25" i="17"/>
  <c r="AP25" i="17"/>
  <c r="Z26" i="17"/>
  <c r="AA26" i="17"/>
  <c r="AB26" i="17"/>
  <c r="AC26" i="17"/>
  <c r="AD26" i="17"/>
  <c r="AE26" i="17"/>
  <c r="AF26" i="17"/>
  <c r="AG26" i="17"/>
  <c r="AH26" i="17"/>
  <c r="AI26" i="17"/>
  <c r="AJ26" i="17"/>
  <c r="AK26" i="17"/>
  <c r="AL26" i="17"/>
  <c r="AM26" i="17"/>
  <c r="AN26" i="17"/>
  <c r="AO26" i="17"/>
  <c r="AP26" i="17"/>
  <c r="Z27" i="17"/>
  <c r="AA27" i="17"/>
  <c r="AB27" i="17"/>
  <c r="AC27" i="17"/>
  <c r="AD27" i="17"/>
  <c r="AE27" i="17"/>
  <c r="AF27" i="17"/>
  <c r="AG27" i="17"/>
  <c r="AH27" i="17"/>
  <c r="AI27" i="17"/>
  <c r="AJ27" i="17"/>
  <c r="AK27" i="17"/>
  <c r="AL27" i="17"/>
  <c r="AM27" i="17"/>
  <c r="AN27" i="17"/>
  <c r="AO27" i="17"/>
  <c r="AP27" i="17"/>
  <c r="Z28" i="17"/>
  <c r="AA28" i="17"/>
  <c r="AB28" i="17"/>
  <c r="AC28" i="17"/>
  <c r="AD28" i="17"/>
  <c r="AE28" i="17"/>
  <c r="AF28" i="17"/>
  <c r="AG28" i="17"/>
  <c r="AH28" i="17"/>
  <c r="AI28" i="17"/>
  <c r="AJ28" i="17"/>
  <c r="AK28" i="17"/>
  <c r="AL28" i="17"/>
  <c r="AM28" i="17"/>
  <c r="AN28" i="17"/>
  <c r="AO28" i="17"/>
  <c r="AP28" i="17"/>
  <c r="Z29" i="17"/>
  <c r="AA29" i="17"/>
  <c r="AB29" i="17"/>
  <c r="AC29" i="17"/>
  <c r="AD29" i="17"/>
  <c r="AE29" i="17"/>
  <c r="AF29" i="17"/>
  <c r="AG29" i="17"/>
  <c r="AH29" i="17"/>
  <c r="AI29" i="17"/>
  <c r="AJ29" i="17"/>
  <c r="AK29" i="17"/>
  <c r="AL29" i="17"/>
  <c r="AM29" i="17"/>
  <c r="AN29" i="17"/>
  <c r="AO29" i="17"/>
  <c r="AP29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Z10" i="17"/>
  <c r="N5" i="21"/>
  <c r="M5" i="21"/>
  <c r="L5" i="21"/>
  <c r="N4" i="21"/>
  <c r="M4" i="21"/>
  <c r="L4" i="21"/>
  <c r="N3" i="21"/>
  <c r="M3" i="21"/>
  <c r="L3" i="21"/>
  <c r="O19" i="4" l="1"/>
  <c r="O21" i="4" s="1"/>
  <c r="P19" i="4"/>
  <c r="P20" i="4" s="1"/>
  <c r="O20" i="4"/>
  <c r="P21" i="4"/>
  <c r="O22" i="4"/>
  <c r="O23" i="4"/>
  <c r="P23" i="4"/>
  <c r="O24" i="4"/>
  <c r="P24" i="4"/>
  <c r="O25" i="4"/>
  <c r="P25" i="4"/>
  <c r="O26" i="4"/>
  <c r="P26" i="4"/>
  <c r="O27" i="4"/>
  <c r="P27" i="4"/>
  <c r="O28" i="4"/>
  <c r="P28" i="4"/>
  <c r="O29" i="4"/>
  <c r="P29" i="4"/>
  <c r="O30" i="4"/>
  <c r="P30" i="4"/>
  <c r="O31" i="4"/>
  <c r="P31" i="4"/>
  <c r="F29" i="4"/>
  <c r="G29" i="4"/>
  <c r="H29" i="4"/>
  <c r="I29" i="4"/>
  <c r="J29" i="4"/>
  <c r="K29" i="4"/>
  <c r="L29" i="4"/>
  <c r="M29" i="4"/>
  <c r="N29" i="4"/>
  <c r="F30" i="4"/>
  <c r="G30" i="4"/>
  <c r="H30" i="4"/>
  <c r="I30" i="4"/>
  <c r="J30" i="4"/>
  <c r="K30" i="4"/>
  <c r="L30" i="4"/>
  <c r="M30" i="4"/>
  <c r="N30" i="4"/>
  <c r="F31" i="4"/>
  <c r="G31" i="4"/>
  <c r="H31" i="4"/>
  <c r="I31" i="4"/>
  <c r="J31" i="4"/>
  <c r="K31" i="4"/>
  <c r="L31" i="4"/>
  <c r="M31" i="4"/>
  <c r="N31" i="4"/>
  <c r="F21" i="4"/>
  <c r="G21" i="4"/>
  <c r="H21" i="4"/>
  <c r="I21" i="4"/>
  <c r="J21" i="4"/>
  <c r="K21" i="4"/>
  <c r="L21" i="4"/>
  <c r="M21" i="4"/>
  <c r="N21" i="4"/>
  <c r="F22" i="4"/>
  <c r="G22" i="4"/>
  <c r="H22" i="4"/>
  <c r="I22" i="4"/>
  <c r="J22" i="4"/>
  <c r="K22" i="4"/>
  <c r="L22" i="4"/>
  <c r="M22" i="4"/>
  <c r="N22" i="4"/>
  <c r="F23" i="4"/>
  <c r="G23" i="4"/>
  <c r="H23" i="4"/>
  <c r="I23" i="4"/>
  <c r="J23" i="4"/>
  <c r="K23" i="4"/>
  <c r="L23" i="4"/>
  <c r="M23" i="4"/>
  <c r="N23" i="4"/>
  <c r="F24" i="4"/>
  <c r="G24" i="4"/>
  <c r="H24" i="4"/>
  <c r="I24" i="4"/>
  <c r="J24" i="4"/>
  <c r="K24" i="4"/>
  <c r="L24" i="4"/>
  <c r="M24" i="4"/>
  <c r="N24" i="4"/>
  <c r="F25" i="4"/>
  <c r="G25" i="4"/>
  <c r="H25" i="4"/>
  <c r="I25" i="4"/>
  <c r="J25" i="4"/>
  <c r="K25" i="4"/>
  <c r="L25" i="4"/>
  <c r="M25" i="4"/>
  <c r="N25" i="4"/>
  <c r="F26" i="4"/>
  <c r="G26" i="4"/>
  <c r="H26" i="4"/>
  <c r="I26" i="4"/>
  <c r="J26" i="4"/>
  <c r="K26" i="4"/>
  <c r="L26" i="4"/>
  <c r="M26" i="4"/>
  <c r="N26" i="4"/>
  <c r="F27" i="4"/>
  <c r="G27" i="4"/>
  <c r="H27" i="4"/>
  <c r="I27" i="4"/>
  <c r="J27" i="4"/>
  <c r="K27" i="4"/>
  <c r="L27" i="4"/>
  <c r="M27" i="4"/>
  <c r="N27" i="4"/>
  <c r="F28" i="4"/>
  <c r="G28" i="4"/>
  <c r="H28" i="4"/>
  <c r="I28" i="4"/>
  <c r="J28" i="4"/>
  <c r="K28" i="4"/>
  <c r="L28" i="4"/>
  <c r="M28" i="4"/>
  <c r="N28" i="4"/>
  <c r="G20" i="4"/>
  <c r="H20" i="4"/>
  <c r="I20" i="4"/>
  <c r="J20" i="4"/>
  <c r="K20" i="4"/>
  <c r="L20" i="4"/>
  <c r="M20" i="4"/>
  <c r="N20" i="4"/>
  <c r="F20" i="4"/>
  <c r="P46" i="6"/>
  <c r="O46" i="6"/>
  <c r="P22" i="4" l="1"/>
  <c r="Q19" i="4"/>
  <c r="H6" i="16"/>
  <c r="K8" i="16"/>
  <c r="K11" i="16"/>
  <c r="I13" i="16"/>
  <c r="E5" i="16"/>
  <c r="F5" i="16"/>
  <c r="G5" i="16"/>
  <c r="H5" i="16"/>
  <c r="I5" i="16"/>
  <c r="J5" i="16"/>
  <c r="K5" i="16"/>
  <c r="L5" i="16"/>
  <c r="M5" i="16"/>
  <c r="N5" i="16"/>
  <c r="O5" i="16"/>
  <c r="P5" i="16"/>
  <c r="Q5" i="16"/>
  <c r="E6" i="16"/>
  <c r="F6" i="16"/>
  <c r="G6" i="16"/>
  <c r="I6" i="16"/>
  <c r="J6" i="16"/>
  <c r="K6" i="16"/>
  <c r="L6" i="16"/>
  <c r="M6" i="16"/>
  <c r="N6" i="16"/>
  <c r="O6" i="16"/>
  <c r="P6" i="16"/>
  <c r="Q6" i="16"/>
  <c r="E7" i="16"/>
  <c r="F7" i="16"/>
  <c r="G7" i="16"/>
  <c r="H7" i="16"/>
  <c r="I7" i="16"/>
  <c r="J7" i="16"/>
  <c r="K7" i="16"/>
  <c r="L7" i="16"/>
  <c r="M7" i="16"/>
  <c r="N7" i="16"/>
  <c r="O7" i="16"/>
  <c r="P7" i="16"/>
  <c r="Q7" i="16"/>
  <c r="E8" i="16"/>
  <c r="F8" i="16"/>
  <c r="G8" i="16"/>
  <c r="H8" i="16"/>
  <c r="I8" i="16"/>
  <c r="J8" i="16"/>
  <c r="L8" i="16"/>
  <c r="M8" i="16"/>
  <c r="N8" i="16"/>
  <c r="O8" i="16"/>
  <c r="P8" i="16"/>
  <c r="Q8" i="16"/>
  <c r="E9" i="16"/>
  <c r="F9" i="16"/>
  <c r="G9" i="16"/>
  <c r="H9" i="16"/>
  <c r="I9" i="16"/>
  <c r="J9" i="16"/>
  <c r="K9" i="16"/>
  <c r="L9" i="16"/>
  <c r="M9" i="16"/>
  <c r="N9" i="16"/>
  <c r="O9" i="16"/>
  <c r="P9" i="16"/>
  <c r="Q9" i="16"/>
  <c r="E10" i="16"/>
  <c r="F10" i="16"/>
  <c r="G10" i="16"/>
  <c r="H10" i="16"/>
  <c r="I10" i="16"/>
  <c r="J10" i="16"/>
  <c r="K10" i="16"/>
  <c r="L10" i="16"/>
  <c r="M10" i="16"/>
  <c r="N10" i="16"/>
  <c r="O10" i="16"/>
  <c r="P10" i="16"/>
  <c r="Q10" i="16"/>
  <c r="E11" i="16"/>
  <c r="F11" i="16"/>
  <c r="G11" i="16"/>
  <c r="H11" i="16"/>
  <c r="I11" i="16"/>
  <c r="J11" i="16"/>
  <c r="L11" i="16"/>
  <c r="M11" i="16"/>
  <c r="N11" i="16"/>
  <c r="O11" i="16"/>
  <c r="P11" i="16"/>
  <c r="Q11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E13" i="16"/>
  <c r="F13" i="16"/>
  <c r="G13" i="16"/>
  <c r="H13" i="16"/>
  <c r="J13" i="16"/>
  <c r="K13" i="16"/>
  <c r="L13" i="16"/>
  <c r="M13" i="16"/>
  <c r="N13" i="16"/>
  <c r="O13" i="16"/>
  <c r="P13" i="16"/>
  <c r="Q13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E16" i="16"/>
  <c r="F16" i="16"/>
  <c r="G16" i="16"/>
  <c r="H16" i="16"/>
  <c r="I16" i="16"/>
  <c r="J16" i="16"/>
  <c r="K16" i="16"/>
  <c r="L16" i="16"/>
  <c r="M16" i="16"/>
  <c r="N16" i="16"/>
  <c r="O16" i="16"/>
  <c r="P16" i="16"/>
  <c r="Q16" i="16"/>
  <c r="E17" i="16"/>
  <c r="F17" i="16"/>
  <c r="G17" i="16"/>
  <c r="H17" i="16"/>
  <c r="I17" i="16"/>
  <c r="J17" i="16"/>
  <c r="K17" i="16"/>
  <c r="L17" i="16"/>
  <c r="M17" i="16"/>
  <c r="N17" i="16"/>
  <c r="O17" i="16"/>
  <c r="P17" i="16"/>
  <c r="Q17" i="16"/>
  <c r="F4" i="16"/>
  <c r="G4" i="16"/>
  <c r="H4" i="16"/>
  <c r="I4" i="16"/>
  <c r="J4" i="16"/>
  <c r="K4" i="16"/>
  <c r="L4" i="16"/>
  <c r="M4" i="16"/>
  <c r="N4" i="16"/>
  <c r="O4" i="16"/>
  <c r="P4" i="16"/>
  <c r="Q4" i="16"/>
  <c r="E4" i="16"/>
  <c r="T3" i="16"/>
  <c r="T4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2" i="16"/>
  <c r="Q21" i="4" l="1"/>
  <c r="Q25" i="4"/>
  <c r="Q29" i="4"/>
  <c r="Q26" i="4"/>
  <c r="Q20" i="4"/>
  <c r="Q24" i="4"/>
  <c r="Q28" i="4"/>
  <c r="Q30" i="4"/>
  <c r="Q23" i="4"/>
  <c r="Q27" i="4"/>
  <c r="Q31" i="4"/>
  <c r="Q22" i="4"/>
  <c r="Z3" i="16"/>
  <c r="Z2" i="16"/>
  <c r="S12" i="18"/>
  <c r="T12" i="18"/>
  <c r="U12" i="18"/>
  <c r="S9" i="18"/>
  <c r="T9" i="18"/>
  <c r="U9" i="18"/>
  <c r="S10" i="18"/>
  <c r="T10" i="18"/>
  <c r="U10" i="18"/>
  <c r="T8" i="18"/>
  <c r="U8" i="18"/>
  <c r="S8" i="18"/>
  <c r="T13" i="18"/>
  <c r="S14" i="18"/>
  <c r="U14" i="18"/>
  <c r="S5" i="18"/>
  <c r="T5" i="18"/>
  <c r="X5" i="18" s="1"/>
  <c r="U5" i="18"/>
  <c r="Y5" i="18" s="1"/>
  <c r="S6" i="18"/>
  <c r="W6" i="18" s="1"/>
  <c r="T6" i="18"/>
  <c r="U6" i="18"/>
  <c r="T4" i="18"/>
  <c r="X4" i="18" s="1"/>
  <c r="U4" i="18"/>
  <c r="S4" i="18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" i="18"/>
  <c r="K4" i="18"/>
  <c r="K5" i="18"/>
  <c r="K6" i="18"/>
  <c r="K7" i="18"/>
  <c r="K8" i="18"/>
  <c r="K9" i="18"/>
  <c r="K10" i="18"/>
  <c r="K11" i="18"/>
  <c r="K12" i="18"/>
  <c r="K13" i="18"/>
  <c r="K14" i="18"/>
  <c r="K15" i="18"/>
  <c r="K16" i="18"/>
  <c r="K17" i="18"/>
  <c r="K18" i="18"/>
  <c r="K19" i="18"/>
  <c r="K3" i="18"/>
  <c r="K2" i="18"/>
  <c r="Y6" i="18" l="1"/>
  <c r="X6" i="18"/>
  <c r="W4" i="18"/>
  <c r="W5" i="18"/>
  <c r="Y4" i="18"/>
  <c r="P4" i="15"/>
  <c r="R22" i="13" l="1"/>
  <c r="S22" i="13"/>
  <c r="T22" i="13"/>
  <c r="U22" i="13"/>
  <c r="V22" i="13"/>
  <c r="W22" i="13"/>
  <c r="X22" i="13"/>
  <c r="Y22" i="13"/>
  <c r="Z22" i="13"/>
  <c r="AA22" i="13"/>
  <c r="Q22" i="13"/>
  <c r="V12" i="15"/>
  <c r="W12" i="15"/>
  <c r="X12" i="15"/>
  <c r="Y12" i="15"/>
  <c r="Z12" i="15"/>
  <c r="V13" i="15"/>
  <c r="W13" i="15"/>
  <c r="X13" i="15"/>
  <c r="Y13" i="15"/>
  <c r="Z13" i="15"/>
  <c r="V14" i="15"/>
  <c r="W14" i="15"/>
  <c r="X14" i="15"/>
  <c r="Y14" i="15"/>
  <c r="Z14" i="15"/>
  <c r="V15" i="15"/>
  <c r="W15" i="15"/>
  <c r="X15" i="15"/>
  <c r="Y15" i="15"/>
  <c r="Z15" i="15"/>
  <c r="W11" i="15"/>
  <c r="X11" i="15"/>
  <c r="Y11" i="15"/>
  <c r="Z11" i="15"/>
  <c r="V11" i="15"/>
  <c r="V5" i="15"/>
  <c r="W5" i="15"/>
  <c r="X5" i="15"/>
  <c r="Y5" i="15"/>
  <c r="Z5" i="15"/>
  <c r="V6" i="15"/>
  <c r="W6" i="15"/>
  <c r="X6" i="15"/>
  <c r="Y6" i="15"/>
  <c r="Z6" i="15"/>
  <c r="V7" i="15"/>
  <c r="W7" i="15"/>
  <c r="X7" i="15"/>
  <c r="Y7" i="15"/>
  <c r="Z7" i="15"/>
  <c r="V8" i="15"/>
  <c r="W8" i="15"/>
  <c r="X8" i="15"/>
  <c r="Y8" i="15"/>
  <c r="Z8" i="15"/>
  <c r="W4" i="15"/>
  <c r="X4" i="15"/>
  <c r="Y4" i="15"/>
  <c r="Z4" i="15"/>
  <c r="V4" i="15"/>
  <c r="P12" i="15"/>
  <c r="Q12" i="15"/>
  <c r="R12" i="15"/>
  <c r="S12" i="15"/>
  <c r="T12" i="15"/>
  <c r="P13" i="15"/>
  <c r="Q13" i="15"/>
  <c r="R13" i="15"/>
  <c r="S13" i="15"/>
  <c r="T13" i="15"/>
  <c r="P14" i="15"/>
  <c r="Q14" i="15"/>
  <c r="R14" i="15"/>
  <c r="S14" i="15"/>
  <c r="T14" i="15"/>
  <c r="P15" i="15"/>
  <c r="Q15" i="15"/>
  <c r="R15" i="15"/>
  <c r="S15" i="15"/>
  <c r="T15" i="15"/>
  <c r="Q11" i="15"/>
  <c r="R11" i="15"/>
  <c r="S11" i="15"/>
  <c r="T11" i="15"/>
  <c r="P11" i="15"/>
  <c r="Q4" i="15"/>
  <c r="R4" i="15"/>
  <c r="S4" i="15"/>
  <c r="T4" i="15"/>
  <c r="Q5" i="15"/>
  <c r="R5" i="15"/>
  <c r="S5" i="15"/>
  <c r="T5" i="15"/>
  <c r="Q6" i="15"/>
  <c r="R6" i="15"/>
  <c r="S6" i="15"/>
  <c r="T6" i="15"/>
  <c r="Q7" i="15"/>
  <c r="R7" i="15"/>
  <c r="S7" i="15"/>
  <c r="T7" i="15"/>
  <c r="Q8" i="15"/>
  <c r="R8" i="15"/>
  <c r="S8" i="15"/>
  <c r="T8" i="15"/>
  <c r="P5" i="15"/>
  <c r="P6" i="15"/>
  <c r="P7" i="15"/>
  <c r="P8" i="15"/>
  <c r="G16" i="5" l="1"/>
  <c r="F17" i="5"/>
  <c r="H15" i="5"/>
  <c r="K12" i="5"/>
  <c r="J13" i="5" s="1"/>
  <c r="AE8" i="15" l="1"/>
  <c r="AF7" i="15"/>
  <c r="AB7" i="15"/>
  <c r="AC6" i="15"/>
  <c r="AD5" i="15"/>
  <c r="AE4" i="15"/>
  <c r="AD8" i="15"/>
  <c r="AE7" i="15"/>
  <c r="AF6" i="15"/>
  <c r="AB6" i="15"/>
  <c r="AC5" i="15"/>
  <c r="AD4" i="15"/>
  <c r="AC8" i="15"/>
  <c r="AD7" i="15"/>
  <c r="AE6" i="15"/>
  <c r="AF5" i="15"/>
  <c r="AB5" i="15"/>
  <c r="AC4" i="15"/>
  <c r="AF8" i="15"/>
  <c r="AB8" i="15"/>
  <c r="AC7" i="15"/>
  <c r="AD6" i="15"/>
  <c r="AE5" i="15"/>
  <c r="AF4" i="15"/>
  <c r="AB4" i="15"/>
  <c r="E18" i="5"/>
  <c r="AH4" i="15" l="1"/>
  <c r="D19" i="5"/>
  <c r="C4" i="13"/>
  <c r="B5" i="13"/>
  <c r="F5" i="13" s="1"/>
  <c r="E3" i="13"/>
  <c r="E4" i="13" s="1"/>
  <c r="F3" i="13"/>
  <c r="F4" i="13" s="1"/>
  <c r="D3" i="13"/>
  <c r="D4" i="13" s="1"/>
  <c r="E20" i="4"/>
  <c r="E21" i="4" s="1"/>
  <c r="E22" i="4" s="1"/>
  <c r="E23" i="4" s="1"/>
  <c r="E24" i="4" s="1"/>
  <c r="E25" i="4" s="1"/>
  <c r="E26" i="4" s="1"/>
  <c r="E27" i="4" s="1"/>
  <c r="E28" i="4" s="1"/>
  <c r="E29" i="4" s="1"/>
  <c r="E30" i="4" s="1"/>
  <c r="E31" i="4" s="1"/>
  <c r="F19" i="4"/>
  <c r="G19" i="4" s="1"/>
  <c r="H19" i="4" s="1"/>
  <c r="I19" i="4" s="1"/>
  <c r="J19" i="4" s="1"/>
  <c r="K19" i="4" s="1"/>
  <c r="L19" i="4" s="1"/>
  <c r="M19" i="4" s="1"/>
  <c r="N19" i="4" s="1"/>
  <c r="E5" i="13" l="1"/>
  <c r="H5" i="13"/>
  <c r="D5" i="13"/>
  <c r="K5" i="13"/>
  <c r="C5" i="13"/>
  <c r="G3" i="13"/>
  <c r="H3" i="13" s="1"/>
  <c r="I3" i="13" s="1"/>
  <c r="J3" i="13" s="1"/>
  <c r="K3" i="13" s="1"/>
  <c r="L3" i="13" s="1"/>
  <c r="M3" i="13" s="1"/>
  <c r="K4" i="13"/>
  <c r="J4" i="13"/>
  <c r="B6" i="13"/>
  <c r="G4" i="13"/>
  <c r="M4" i="13"/>
  <c r="L4" i="13"/>
  <c r="H4" i="13"/>
  <c r="C25" i="10"/>
  <c r="G25" i="10" s="1"/>
  <c r="E24" i="10"/>
  <c r="F24" i="10"/>
  <c r="G24" i="10" s="1"/>
  <c r="H24" i="10" s="1"/>
  <c r="I24" i="10" s="1"/>
  <c r="J24" i="10" s="1"/>
  <c r="K24" i="10" s="1"/>
  <c r="D24" i="10"/>
  <c r="C26" i="10" l="1"/>
  <c r="D25" i="10"/>
  <c r="J25" i="10"/>
  <c r="F25" i="10"/>
  <c r="I25" i="10"/>
  <c r="E25" i="10"/>
  <c r="N3" i="13"/>
  <c r="M5" i="13"/>
  <c r="L5" i="13"/>
  <c r="H25" i="10"/>
  <c r="K25" i="10"/>
  <c r="I4" i="13"/>
  <c r="E6" i="13"/>
  <c r="I6" i="13"/>
  <c r="M6" i="13"/>
  <c r="F6" i="13"/>
  <c r="J6" i="13"/>
  <c r="N6" i="13"/>
  <c r="C6" i="13"/>
  <c r="G6" i="13"/>
  <c r="K6" i="13"/>
  <c r="D6" i="13"/>
  <c r="H6" i="13"/>
  <c r="L6" i="13"/>
  <c r="J5" i="13"/>
  <c r="G5" i="13"/>
  <c r="I5" i="13"/>
  <c r="B7" i="13"/>
  <c r="O3" i="13" l="1"/>
  <c r="N4" i="13"/>
  <c r="N5" i="13"/>
  <c r="D7" i="13"/>
  <c r="H7" i="13"/>
  <c r="L7" i="13"/>
  <c r="E7" i="13"/>
  <c r="I7" i="13"/>
  <c r="M7" i="13"/>
  <c r="F7" i="13"/>
  <c r="J7" i="13"/>
  <c r="N7" i="13"/>
  <c r="C7" i="13"/>
  <c r="G7" i="13"/>
  <c r="K7" i="13"/>
  <c r="O7" i="13"/>
  <c r="D26" i="10"/>
  <c r="E26" i="10" s="1"/>
  <c r="F26" i="10" s="1"/>
  <c r="G26" i="10" s="1"/>
  <c r="H26" i="10" s="1"/>
  <c r="I26" i="10" s="1"/>
  <c r="J26" i="10" s="1"/>
  <c r="K26" i="10" s="1"/>
  <c r="C27" i="10"/>
  <c r="B8" i="13"/>
  <c r="H34" i="6"/>
  <c r="D32" i="6"/>
  <c r="D33" i="6" s="1"/>
  <c r="D34" i="6" s="1"/>
  <c r="D35" i="6" s="1"/>
  <c r="D36" i="6" s="1"/>
  <c r="D37" i="6" s="1"/>
  <c r="D38" i="6" s="1"/>
  <c r="D39" i="6" s="1"/>
  <c r="D40" i="6" s="1"/>
  <c r="D41" i="6" s="1"/>
  <c r="D31" i="6"/>
  <c r="G31" i="6" s="1"/>
  <c r="F30" i="6"/>
  <c r="G30" i="6" s="1"/>
  <c r="G41" i="6" s="1"/>
  <c r="E30" i="6"/>
  <c r="E31" i="6" s="1"/>
  <c r="F6" i="6"/>
  <c r="G6" i="6" s="1"/>
  <c r="H6" i="6" s="1"/>
  <c r="I6" i="6" s="1"/>
  <c r="J6" i="6" s="1"/>
  <c r="K6" i="6" s="1"/>
  <c r="L6" i="6" s="1"/>
  <c r="M6" i="6" s="1"/>
  <c r="N6" i="6" s="1"/>
  <c r="O6" i="6" s="1"/>
  <c r="P6" i="6" s="1"/>
  <c r="Q6" i="6" s="1"/>
  <c r="R6" i="6" s="1"/>
  <c r="S6" i="6" s="1"/>
  <c r="T6" i="6" s="1"/>
  <c r="U6" i="6" s="1"/>
  <c r="V6" i="6" s="1"/>
  <c r="W6" i="6" s="1"/>
  <c r="G40" i="6" l="1"/>
  <c r="G39" i="6"/>
  <c r="G38" i="6"/>
  <c r="G37" i="6"/>
  <c r="G36" i="6"/>
  <c r="G35" i="6"/>
  <c r="F34" i="6"/>
  <c r="F33" i="6"/>
  <c r="F32" i="6"/>
  <c r="F41" i="6"/>
  <c r="F40" i="6"/>
  <c r="F39" i="6"/>
  <c r="F38" i="6"/>
  <c r="F37" i="6"/>
  <c r="F36" i="6"/>
  <c r="F35" i="6"/>
  <c r="E34" i="6"/>
  <c r="E33" i="6"/>
  <c r="E32" i="6"/>
  <c r="C8" i="13"/>
  <c r="G8" i="13"/>
  <c r="K8" i="13"/>
  <c r="O8" i="13"/>
  <c r="D8" i="13"/>
  <c r="H8" i="13"/>
  <c r="L8" i="13"/>
  <c r="E8" i="13"/>
  <c r="I8" i="13"/>
  <c r="M8" i="13"/>
  <c r="F8" i="13"/>
  <c r="J8" i="13"/>
  <c r="N8" i="13"/>
  <c r="F31" i="6"/>
  <c r="E41" i="6"/>
  <c r="E40" i="6"/>
  <c r="E39" i="6"/>
  <c r="E38" i="6"/>
  <c r="E37" i="6"/>
  <c r="E36" i="6"/>
  <c r="E35" i="6"/>
  <c r="D42" i="6"/>
  <c r="D27" i="10"/>
  <c r="E27" i="10" s="1"/>
  <c r="F27" i="10" s="1"/>
  <c r="G27" i="10" s="1"/>
  <c r="H27" i="10" s="1"/>
  <c r="I27" i="10" s="1"/>
  <c r="J27" i="10" s="1"/>
  <c r="K27" i="10" s="1"/>
  <c r="C28" i="10"/>
  <c r="G34" i="6"/>
  <c r="G33" i="6"/>
  <c r="G32" i="6"/>
  <c r="O4" i="13"/>
  <c r="O5" i="13"/>
  <c r="O6" i="13"/>
  <c r="B9" i="13"/>
  <c r="H30" i="6"/>
  <c r="H31" i="6" s="1"/>
  <c r="D5" i="10"/>
  <c r="E5" i="10" s="1"/>
  <c r="C7" i="10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6" i="10"/>
  <c r="F5" i="6"/>
  <c r="G5" i="6" s="1"/>
  <c r="H5" i="6" s="1"/>
  <c r="I5" i="6" s="1"/>
  <c r="J5" i="6" s="1"/>
  <c r="K5" i="6" s="1"/>
  <c r="L5" i="6" s="1"/>
  <c r="M5" i="6" s="1"/>
  <c r="N5" i="6" s="1"/>
  <c r="O5" i="6" s="1"/>
  <c r="P5" i="6" s="1"/>
  <c r="Q5" i="6" s="1"/>
  <c r="R5" i="6" s="1"/>
  <c r="S5" i="6" s="1"/>
  <c r="T5" i="6" s="1"/>
  <c r="U5" i="6" s="1"/>
  <c r="V5" i="6" s="1"/>
  <c r="W5" i="6" s="1"/>
  <c r="X5" i="6" s="1"/>
  <c r="Y5" i="6" s="1"/>
  <c r="F7" i="6"/>
  <c r="F5" i="10" l="1"/>
  <c r="G5" i="10" s="1"/>
  <c r="H38" i="6"/>
  <c r="H42" i="6"/>
  <c r="E42" i="6"/>
  <c r="I42" i="6"/>
  <c r="F42" i="6"/>
  <c r="G42" i="6"/>
  <c r="D6" i="10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H37" i="6"/>
  <c r="H32" i="6"/>
  <c r="H33" i="6"/>
  <c r="F9" i="13"/>
  <c r="J9" i="13"/>
  <c r="N9" i="13"/>
  <c r="C9" i="13"/>
  <c r="G9" i="13"/>
  <c r="K9" i="13"/>
  <c r="O9" i="13"/>
  <c r="D9" i="13"/>
  <c r="H9" i="13"/>
  <c r="L9" i="13"/>
  <c r="E9" i="13"/>
  <c r="I9" i="13"/>
  <c r="M9" i="13"/>
  <c r="H36" i="6"/>
  <c r="H40" i="6"/>
  <c r="C29" i="10"/>
  <c r="D28" i="10"/>
  <c r="E28" i="10" s="1"/>
  <c r="F28" i="10" s="1"/>
  <c r="G28" i="10" s="1"/>
  <c r="H28" i="10" s="1"/>
  <c r="I28" i="10" s="1"/>
  <c r="J28" i="10" s="1"/>
  <c r="K28" i="10" s="1"/>
  <c r="H35" i="6"/>
  <c r="H39" i="6"/>
  <c r="H41" i="6"/>
  <c r="B10" i="13"/>
  <c r="I30" i="6"/>
  <c r="G7" i="6"/>
  <c r="H7" i="6" s="1"/>
  <c r="I7" i="6" s="1"/>
  <c r="J7" i="6" s="1"/>
  <c r="K7" i="6" s="1"/>
  <c r="L7" i="6" s="1"/>
  <c r="M7" i="6" s="1"/>
  <c r="N7" i="6" s="1"/>
  <c r="O7" i="6" s="1"/>
  <c r="P7" i="6" s="1"/>
  <c r="Q7" i="6" s="1"/>
  <c r="R7" i="6" s="1"/>
  <c r="S7" i="6" s="1"/>
  <c r="T7" i="6" s="1"/>
  <c r="U7" i="6" s="1"/>
  <c r="V7" i="6" s="1"/>
  <c r="W7" i="6" s="1"/>
  <c r="X7" i="6" s="1"/>
  <c r="Y7" i="6" s="1"/>
  <c r="S5" i="4"/>
  <c r="S6" i="4" s="1"/>
  <c r="S7" i="4" s="1"/>
  <c r="S8" i="4" s="1"/>
  <c r="S9" i="4" s="1"/>
  <c r="S10" i="4" s="1"/>
  <c r="S11" i="4" s="1"/>
  <c r="S12" i="4" s="1"/>
  <c r="S13" i="4" s="1"/>
  <c r="S14" i="4" s="1"/>
  <c r="S15" i="4" s="1"/>
  <c r="T4" i="4"/>
  <c r="U4" i="4" s="1"/>
  <c r="T3" i="5"/>
  <c r="U3" i="5"/>
  <c r="V3" i="5"/>
  <c r="E5" i="4"/>
  <c r="E6" i="4"/>
  <c r="F4" i="4"/>
  <c r="G4" i="4" s="1"/>
  <c r="U4" i="5" l="1"/>
  <c r="E7" i="4"/>
  <c r="G6" i="4"/>
  <c r="F6" i="4"/>
  <c r="F5" i="4"/>
  <c r="G5" i="4"/>
  <c r="U14" i="4"/>
  <c r="T13" i="4"/>
  <c r="U10" i="4"/>
  <c r="T9" i="4"/>
  <c r="U6" i="4"/>
  <c r="E10" i="13"/>
  <c r="I10" i="13"/>
  <c r="M10" i="13"/>
  <c r="F10" i="13"/>
  <c r="J10" i="13"/>
  <c r="N10" i="13"/>
  <c r="C10" i="13"/>
  <c r="G10" i="13"/>
  <c r="K10" i="13"/>
  <c r="O10" i="13"/>
  <c r="D10" i="13"/>
  <c r="H10" i="13"/>
  <c r="L10" i="13"/>
  <c r="T5" i="4"/>
  <c r="U15" i="4"/>
  <c r="T14" i="4"/>
  <c r="U11" i="4"/>
  <c r="T10" i="4"/>
  <c r="U7" i="4"/>
  <c r="T6" i="4"/>
  <c r="C30" i="10"/>
  <c r="D29" i="10"/>
  <c r="E29" i="10" s="1"/>
  <c r="F29" i="10" s="1"/>
  <c r="G29" i="10" s="1"/>
  <c r="H29" i="10" s="1"/>
  <c r="I29" i="10" s="1"/>
  <c r="J29" i="10" s="1"/>
  <c r="K29" i="10" s="1"/>
  <c r="T15" i="4"/>
  <c r="U12" i="4"/>
  <c r="T11" i="4"/>
  <c r="U8" i="4"/>
  <c r="T7" i="4"/>
  <c r="I31" i="6"/>
  <c r="I38" i="6"/>
  <c r="I34" i="6"/>
  <c r="I39" i="6"/>
  <c r="I35" i="6"/>
  <c r="I41" i="6"/>
  <c r="I32" i="6"/>
  <c r="I40" i="6"/>
  <c r="I36" i="6"/>
  <c r="I33" i="6"/>
  <c r="I37" i="6"/>
  <c r="H5" i="10"/>
  <c r="U5" i="4"/>
  <c r="U13" i="4"/>
  <c r="T12" i="4"/>
  <c r="U9" i="4"/>
  <c r="T8" i="4"/>
  <c r="E6" i="10"/>
  <c r="B11" i="13"/>
  <c r="J30" i="6"/>
  <c r="V4" i="4"/>
  <c r="V15" i="4" s="1"/>
  <c r="W4" i="5"/>
  <c r="V5" i="5" s="1"/>
  <c r="S4" i="5"/>
  <c r="T4" i="5"/>
  <c r="V4" i="5"/>
  <c r="H4" i="4"/>
  <c r="H6" i="4" s="1"/>
  <c r="T5" i="5" l="1"/>
  <c r="V13" i="4"/>
  <c r="V5" i="4"/>
  <c r="H5" i="4"/>
  <c r="V14" i="4"/>
  <c r="J31" i="6"/>
  <c r="J33" i="6"/>
  <c r="J38" i="6"/>
  <c r="J34" i="6"/>
  <c r="J39" i="6"/>
  <c r="J35" i="6"/>
  <c r="J41" i="6"/>
  <c r="J37" i="6"/>
  <c r="J32" i="6"/>
  <c r="J40" i="6"/>
  <c r="J36" i="6"/>
  <c r="J42" i="6"/>
  <c r="V6" i="4"/>
  <c r="V8" i="4"/>
  <c r="V11" i="4"/>
  <c r="I5" i="10"/>
  <c r="D30" i="10"/>
  <c r="E30" i="10" s="1"/>
  <c r="F30" i="10" s="1"/>
  <c r="G30" i="10" s="1"/>
  <c r="H30" i="10" s="1"/>
  <c r="I30" i="10" s="1"/>
  <c r="J30" i="10" s="1"/>
  <c r="K30" i="10" s="1"/>
  <c r="C31" i="10"/>
  <c r="V7" i="4"/>
  <c r="D11" i="13"/>
  <c r="H11" i="13"/>
  <c r="L11" i="13"/>
  <c r="O11" i="13"/>
  <c r="E11" i="13"/>
  <c r="I11" i="13"/>
  <c r="M11" i="13"/>
  <c r="F11" i="13"/>
  <c r="J11" i="13"/>
  <c r="N11" i="13"/>
  <c r="C11" i="13"/>
  <c r="G11" i="13"/>
  <c r="K11" i="13"/>
  <c r="V9" i="4"/>
  <c r="E8" i="4"/>
  <c r="H7" i="4"/>
  <c r="F7" i="4"/>
  <c r="G7" i="4"/>
  <c r="F6" i="10"/>
  <c r="E7" i="10"/>
  <c r="E8" i="10" s="1"/>
  <c r="E9" i="10" s="1"/>
  <c r="E10" i="10" s="1"/>
  <c r="V10" i="4"/>
  <c r="V12" i="4"/>
  <c r="B12" i="13"/>
  <c r="K30" i="6"/>
  <c r="I4" i="4"/>
  <c r="W4" i="4"/>
  <c r="S5" i="5"/>
  <c r="X5" i="5"/>
  <c r="W5" i="5"/>
  <c r="X6" i="5" s="1"/>
  <c r="R5" i="5"/>
  <c r="U5" i="5"/>
  <c r="R6" i="5" l="1"/>
  <c r="I6" i="4"/>
  <c r="I5" i="4"/>
  <c r="Q7" i="5"/>
  <c r="W15" i="4"/>
  <c r="W12" i="4"/>
  <c r="W9" i="4"/>
  <c r="W7" i="4"/>
  <c r="W6" i="4"/>
  <c r="W10" i="4"/>
  <c r="W8" i="4"/>
  <c r="W14" i="4"/>
  <c r="W5" i="4"/>
  <c r="W13" i="4"/>
  <c r="W11" i="4"/>
  <c r="J5" i="10"/>
  <c r="F7" i="10"/>
  <c r="F8" i="10" s="1"/>
  <c r="F9" i="10" s="1"/>
  <c r="F10" i="10" s="1"/>
  <c r="F11" i="10" s="1"/>
  <c r="F12" i="10" s="1"/>
  <c r="F13" i="10" s="1"/>
  <c r="F14" i="10" s="1"/>
  <c r="F15" i="10" s="1"/>
  <c r="F16" i="10" s="1"/>
  <c r="F17" i="10" s="1"/>
  <c r="F18" i="10" s="1"/>
  <c r="F19" i="10" s="1"/>
  <c r="F20" i="10" s="1"/>
  <c r="G6" i="10"/>
  <c r="E9" i="4"/>
  <c r="I8" i="4"/>
  <c r="F8" i="4"/>
  <c r="J8" i="4"/>
  <c r="G8" i="4"/>
  <c r="H8" i="4"/>
  <c r="D31" i="10"/>
  <c r="E31" i="10" s="1"/>
  <c r="F31" i="10" s="1"/>
  <c r="G31" i="10" s="1"/>
  <c r="H31" i="10" s="1"/>
  <c r="I31" i="10" s="1"/>
  <c r="J31" i="10" s="1"/>
  <c r="K31" i="10" s="1"/>
  <c r="C32" i="10"/>
  <c r="C12" i="13"/>
  <c r="G12" i="13"/>
  <c r="K12" i="13"/>
  <c r="O12" i="13"/>
  <c r="D12" i="13"/>
  <c r="H12" i="13"/>
  <c r="L12" i="13"/>
  <c r="E12" i="13"/>
  <c r="I12" i="13"/>
  <c r="M12" i="13"/>
  <c r="F12" i="13"/>
  <c r="J12" i="13"/>
  <c r="N12" i="13"/>
  <c r="I7" i="4"/>
  <c r="K34" i="6"/>
  <c r="K35" i="6"/>
  <c r="K36" i="6"/>
  <c r="K37" i="6"/>
  <c r="K38" i="6"/>
  <c r="K39" i="6"/>
  <c r="K40" i="6"/>
  <c r="K41" i="6"/>
  <c r="K32" i="6"/>
  <c r="K31" i="6"/>
  <c r="K33" i="6"/>
  <c r="K42" i="6"/>
  <c r="B13" i="13"/>
  <c r="L30" i="6"/>
  <c r="J4" i="4"/>
  <c r="X4" i="4"/>
  <c r="Y6" i="5"/>
  <c r="Z7" i="5" s="1"/>
  <c r="AA8" i="5" s="1"/>
  <c r="S6" i="5"/>
  <c r="Q6" i="5"/>
  <c r="W6" i="5"/>
  <c r="V6" i="5"/>
  <c r="W7" i="5" s="1"/>
  <c r="T6" i="5"/>
  <c r="U6" i="5"/>
  <c r="X7" i="5" l="1"/>
  <c r="Y8" i="5" s="1"/>
  <c r="Z9" i="5" s="1"/>
  <c r="E10" i="4"/>
  <c r="F9" i="4"/>
  <c r="J9" i="4"/>
  <c r="G9" i="4"/>
  <c r="H9" i="4"/>
  <c r="I9" i="4"/>
  <c r="P8" i="5"/>
  <c r="O9" i="5" s="1"/>
  <c r="R7" i="5"/>
  <c r="G7" i="10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H6" i="10"/>
  <c r="X9" i="4"/>
  <c r="X6" i="4"/>
  <c r="X15" i="4"/>
  <c r="X8" i="4"/>
  <c r="X14" i="4"/>
  <c r="X7" i="4"/>
  <c r="X11" i="4"/>
  <c r="X5" i="4"/>
  <c r="X13" i="4"/>
  <c r="X10" i="4"/>
  <c r="X12" i="4"/>
  <c r="L31" i="6"/>
  <c r="L40" i="6"/>
  <c r="L36" i="6"/>
  <c r="L32" i="6"/>
  <c r="L37" i="6"/>
  <c r="L39" i="6"/>
  <c r="L33" i="6"/>
  <c r="L41" i="6"/>
  <c r="L38" i="6"/>
  <c r="L34" i="6"/>
  <c r="L35" i="6"/>
  <c r="L42" i="6"/>
  <c r="V7" i="5"/>
  <c r="J5" i="4"/>
  <c r="J6" i="4"/>
  <c r="J7" i="4"/>
  <c r="F13" i="13"/>
  <c r="J13" i="13"/>
  <c r="N13" i="13"/>
  <c r="C13" i="13"/>
  <c r="G13" i="13"/>
  <c r="K13" i="13"/>
  <c r="O13" i="13"/>
  <c r="D13" i="13"/>
  <c r="H13" i="13"/>
  <c r="L13" i="13"/>
  <c r="M13" i="13"/>
  <c r="E13" i="13"/>
  <c r="I13" i="13"/>
  <c r="D32" i="10"/>
  <c r="E32" i="10" s="1"/>
  <c r="F32" i="10" s="1"/>
  <c r="G32" i="10" s="1"/>
  <c r="H32" i="10" s="1"/>
  <c r="I32" i="10" s="1"/>
  <c r="J32" i="10" s="1"/>
  <c r="K32" i="10" s="1"/>
  <c r="C33" i="10"/>
  <c r="B14" i="13"/>
  <c r="M30" i="6"/>
  <c r="X6" i="6"/>
  <c r="Y6" i="6" s="1"/>
  <c r="K4" i="4"/>
  <c r="Y4" i="4"/>
  <c r="Y7" i="5"/>
  <c r="X8" i="5" s="1"/>
  <c r="P7" i="5"/>
  <c r="AB9" i="5"/>
  <c r="U7" i="5"/>
  <c r="V8" i="5" s="1"/>
  <c r="S7" i="5"/>
  <c r="T7" i="5"/>
  <c r="W8" i="5" l="1"/>
  <c r="X9" i="5" s="1"/>
  <c r="Y10" i="5" s="1"/>
  <c r="Q8" i="5"/>
  <c r="N30" i="6"/>
  <c r="M31" i="6"/>
  <c r="M39" i="6"/>
  <c r="M35" i="6"/>
  <c r="M32" i="6"/>
  <c r="M40" i="6"/>
  <c r="M36" i="6"/>
  <c r="M38" i="6"/>
  <c r="M33" i="6"/>
  <c r="M41" i="6"/>
  <c r="M37" i="6"/>
  <c r="M34" i="6"/>
  <c r="M42" i="6"/>
  <c r="H7" i="10"/>
  <c r="H8" i="10" s="1"/>
  <c r="H9" i="10" s="1"/>
  <c r="H10" i="10" s="1"/>
  <c r="H11" i="10" s="1"/>
  <c r="H12" i="10" s="1"/>
  <c r="H13" i="10" s="1"/>
  <c r="H14" i="10" s="1"/>
  <c r="H15" i="10" s="1"/>
  <c r="H16" i="10" s="1"/>
  <c r="H17" i="10" s="1"/>
  <c r="H18" i="10" s="1"/>
  <c r="H19" i="10" s="1"/>
  <c r="H20" i="10" s="1"/>
  <c r="I6" i="10"/>
  <c r="E14" i="13"/>
  <c r="I14" i="13"/>
  <c r="M14" i="13"/>
  <c r="D14" i="13"/>
  <c r="F14" i="13"/>
  <c r="J14" i="13"/>
  <c r="N14" i="13"/>
  <c r="C14" i="13"/>
  <c r="G14" i="13"/>
  <c r="K14" i="13"/>
  <c r="O14" i="13"/>
  <c r="H14" i="13"/>
  <c r="L14" i="13"/>
  <c r="K6" i="4"/>
  <c r="K5" i="4"/>
  <c r="K7" i="4"/>
  <c r="K8" i="4"/>
  <c r="D33" i="10"/>
  <c r="E33" i="10" s="1"/>
  <c r="F33" i="10" s="1"/>
  <c r="G33" i="10" s="1"/>
  <c r="H33" i="10" s="1"/>
  <c r="I33" i="10" s="1"/>
  <c r="J33" i="10" s="1"/>
  <c r="K33" i="10" s="1"/>
  <c r="C34" i="10"/>
  <c r="K9" i="4"/>
  <c r="Y6" i="4"/>
  <c r="Y12" i="4"/>
  <c r="Y5" i="4"/>
  <c r="Y14" i="4"/>
  <c r="Y11" i="4"/>
  <c r="Y15" i="4"/>
  <c r="Y8" i="4"/>
  <c r="Y13" i="4"/>
  <c r="Y10" i="4"/>
  <c r="Y7" i="4"/>
  <c r="Y9" i="4"/>
  <c r="E11" i="4"/>
  <c r="G10" i="4"/>
  <c r="K10" i="4"/>
  <c r="H10" i="4"/>
  <c r="L10" i="4"/>
  <c r="I10" i="4"/>
  <c r="F10" i="4"/>
  <c r="J10" i="4"/>
  <c r="B15" i="13"/>
  <c r="L4" i="4"/>
  <c r="Z4" i="4"/>
  <c r="W9" i="5"/>
  <c r="O8" i="5"/>
  <c r="N10" i="5"/>
  <c r="M11" i="5" s="1"/>
  <c r="L12" i="5" s="1"/>
  <c r="Z8" i="5"/>
  <c r="T8" i="5"/>
  <c r="U9" i="5" s="1"/>
  <c r="R8" i="5"/>
  <c r="AA10" i="5"/>
  <c r="U8" i="5"/>
  <c r="S8" i="5"/>
  <c r="V9" i="5" l="1"/>
  <c r="K13" i="5"/>
  <c r="P9" i="5"/>
  <c r="W10" i="5"/>
  <c r="X11" i="5" s="1"/>
  <c r="V10" i="5"/>
  <c r="B16" i="13"/>
  <c r="D15" i="13"/>
  <c r="H15" i="13"/>
  <c r="L15" i="13"/>
  <c r="C15" i="13"/>
  <c r="O15" i="13"/>
  <c r="E15" i="13"/>
  <c r="I15" i="13"/>
  <c r="M15" i="13"/>
  <c r="F15" i="13"/>
  <c r="J15" i="13"/>
  <c r="N15" i="13"/>
  <c r="G15" i="13"/>
  <c r="K15" i="13"/>
  <c r="E12" i="4"/>
  <c r="H11" i="4"/>
  <c r="L11" i="4"/>
  <c r="I11" i="4"/>
  <c r="F11" i="4"/>
  <c r="J11" i="4"/>
  <c r="G11" i="4"/>
  <c r="K11" i="4"/>
  <c r="J6" i="10"/>
  <c r="I7" i="10"/>
  <c r="I8" i="10" s="1"/>
  <c r="I9" i="10" s="1"/>
  <c r="I10" i="10" s="1"/>
  <c r="I11" i="10" s="1"/>
  <c r="I12" i="10" s="1"/>
  <c r="I13" i="10" s="1"/>
  <c r="I14" i="10" s="1"/>
  <c r="I15" i="10" s="1"/>
  <c r="I16" i="10" s="1"/>
  <c r="I17" i="10" s="1"/>
  <c r="I18" i="10" s="1"/>
  <c r="I19" i="10" s="1"/>
  <c r="I20" i="10" s="1"/>
  <c r="Z9" i="4"/>
  <c r="Z14" i="4"/>
  <c r="Z11" i="4"/>
  <c r="Z8" i="4"/>
  <c r="Z15" i="4"/>
  <c r="Z12" i="4"/>
  <c r="Z10" i="4"/>
  <c r="Z7" i="4"/>
  <c r="Z5" i="4"/>
  <c r="Z13" i="4"/>
  <c r="Z6" i="4"/>
  <c r="D34" i="10"/>
  <c r="E34" i="10" s="1"/>
  <c r="F34" i="10" s="1"/>
  <c r="G34" i="10" s="1"/>
  <c r="H34" i="10" s="1"/>
  <c r="I34" i="10" s="1"/>
  <c r="J34" i="10" s="1"/>
  <c r="K34" i="10" s="1"/>
  <c r="C35" i="10"/>
  <c r="L5" i="4"/>
  <c r="L6" i="4"/>
  <c r="L7" i="4"/>
  <c r="L8" i="4"/>
  <c r="L9" i="4"/>
  <c r="O30" i="6"/>
  <c r="N31" i="6"/>
  <c r="N33" i="6"/>
  <c r="N39" i="6"/>
  <c r="N35" i="6"/>
  <c r="N32" i="6"/>
  <c r="N40" i="6"/>
  <c r="N36" i="6"/>
  <c r="N38" i="6"/>
  <c r="N34" i="6"/>
  <c r="N41" i="6"/>
  <c r="N37" i="6"/>
  <c r="N42" i="6"/>
  <c r="M4" i="4"/>
  <c r="M11" i="4" s="1"/>
  <c r="AA4" i="4"/>
  <c r="AC10" i="5"/>
  <c r="AD11" i="5" s="1"/>
  <c r="AE12" i="5" s="1"/>
  <c r="AF13" i="5" s="1"/>
  <c r="AG14" i="5" s="1"/>
  <c r="AH15" i="5" s="1"/>
  <c r="AI16" i="5" s="1"/>
  <c r="AJ17" i="5" s="1"/>
  <c r="AK18" i="5" s="1"/>
  <c r="AL19" i="5" s="1"/>
  <c r="AM20" i="5" s="1"/>
  <c r="AN21" i="5" s="1"/>
  <c r="AA9" i="5"/>
  <c r="AB10" i="5" s="1"/>
  <c r="Y9" i="5"/>
  <c r="N9" i="5"/>
  <c r="Z11" i="5"/>
  <c r="Q9" i="5"/>
  <c r="S9" i="5"/>
  <c r="T10" i="5" s="1"/>
  <c r="U11" i="5" s="1"/>
  <c r="T9" i="5"/>
  <c r="U10" i="5" s="1"/>
  <c r="R9" i="5"/>
  <c r="V11" i="5" l="1"/>
  <c r="J14" i="5"/>
  <c r="Y12" i="5"/>
  <c r="W12" i="5"/>
  <c r="P30" i="6"/>
  <c r="O39" i="6"/>
  <c r="O41" i="6"/>
  <c r="O34" i="6"/>
  <c r="O35" i="6"/>
  <c r="O36" i="6"/>
  <c r="O37" i="6"/>
  <c r="O38" i="6"/>
  <c r="O40" i="6"/>
  <c r="O31" i="6"/>
  <c r="O33" i="6"/>
  <c r="O32" i="6"/>
  <c r="O42" i="6"/>
  <c r="J7" i="10"/>
  <c r="J8" i="10" s="1"/>
  <c r="J9" i="10" s="1"/>
  <c r="J10" i="10" s="1"/>
  <c r="J11" i="10" s="1"/>
  <c r="J12" i="10" s="1"/>
  <c r="J13" i="10" s="1"/>
  <c r="J14" i="10" s="1"/>
  <c r="J15" i="10" s="1"/>
  <c r="J16" i="10" s="1"/>
  <c r="J17" i="10" s="1"/>
  <c r="J18" i="10" s="1"/>
  <c r="J19" i="10" s="1"/>
  <c r="J20" i="10" s="1"/>
  <c r="E13" i="4"/>
  <c r="I12" i="4"/>
  <c r="M12" i="4"/>
  <c r="F12" i="4"/>
  <c r="J12" i="4"/>
  <c r="G12" i="4"/>
  <c r="K12" i="4"/>
  <c r="H12" i="4"/>
  <c r="L12" i="4"/>
  <c r="M6" i="4"/>
  <c r="M5" i="4"/>
  <c r="M7" i="4"/>
  <c r="M8" i="4"/>
  <c r="M9" i="4"/>
  <c r="M10" i="4"/>
  <c r="AA5" i="4"/>
  <c r="AA13" i="4"/>
  <c r="AA6" i="4"/>
  <c r="AA11" i="4"/>
  <c r="AA10" i="4"/>
  <c r="AA14" i="4"/>
  <c r="AA12" i="4"/>
  <c r="AA9" i="4"/>
  <c r="AA7" i="4"/>
  <c r="AA8" i="4"/>
  <c r="AA15" i="4"/>
  <c r="D35" i="10"/>
  <c r="E35" i="10" s="1"/>
  <c r="F35" i="10" s="1"/>
  <c r="G35" i="10" s="1"/>
  <c r="H35" i="10" s="1"/>
  <c r="I35" i="10" s="1"/>
  <c r="J35" i="10" s="1"/>
  <c r="K35" i="10" s="1"/>
  <c r="C36" i="10"/>
  <c r="D36" i="10" s="1"/>
  <c r="E36" i="10" s="1"/>
  <c r="F36" i="10" s="1"/>
  <c r="G36" i="10" s="1"/>
  <c r="H36" i="10" s="1"/>
  <c r="I36" i="10" s="1"/>
  <c r="J36" i="10" s="1"/>
  <c r="K36" i="10" s="1"/>
  <c r="C16" i="13"/>
  <c r="G16" i="13"/>
  <c r="K16" i="13"/>
  <c r="O16" i="13"/>
  <c r="N16" i="13"/>
  <c r="D16" i="13"/>
  <c r="H16" i="13"/>
  <c r="L16" i="13"/>
  <c r="E16" i="13"/>
  <c r="I16" i="13"/>
  <c r="M16" i="13"/>
  <c r="F16" i="13"/>
  <c r="J16" i="13"/>
  <c r="N4" i="4"/>
  <c r="AB4" i="4"/>
  <c r="AB11" i="5"/>
  <c r="AC12" i="5" s="1"/>
  <c r="AD13" i="5" s="1"/>
  <c r="AE14" i="5" s="1"/>
  <c r="AF15" i="5" s="1"/>
  <c r="AG16" i="5" s="1"/>
  <c r="AH17" i="5" s="1"/>
  <c r="AI18" i="5" s="1"/>
  <c r="AJ19" i="5" s="1"/>
  <c r="AK20" i="5" s="1"/>
  <c r="AL21" i="5" s="1"/>
  <c r="Z10" i="5"/>
  <c r="AA11" i="5" s="1"/>
  <c r="X10" i="5"/>
  <c r="M10" i="5"/>
  <c r="O10" i="5"/>
  <c r="R10" i="5"/>
  <c r="S11" i="5" s="1"/>
  <c r="T12" i="5" s="1"/>
  <c r="P10" i="5"/>
  <c r="S10" i="5"/>
  <c r="T11" i="5" s="1"/>
  <c r="U12" i="5" s="1"/>
  <c r="Q10" i="5"/>
  <c r="V13" i="5" l="1"/>
  <c r="I15" i="5"/>
  <c r="H16" i="5" s="1"/>
  <c r="G17" i="5" s="1"/>
  <c r="F18" i="5" s="1"/>
  <c r="X13" i="5"/>
  <c r="W14" i="5" s="1"/>
  <c r="E14" i="4"/>
  <c r="F13" i="4"/>
  <c r="J13" i="4"/>
  <c r="N13" i="4"/>
  <c r="G13" i="4"/>
  <c r="H13" i="4"/>
  <c r="L13" i="4"/>
  <c r="I13" i="4"/>
  <c r="M13" i="4"/>
  <c r="K13" i="4"/>
  <c r="P41" i="6"/>
  <c r="P31" i="6"/>
  <c r="P32" i="6"/>
  <c r="P37" i="6"/>
  <c r="P33" i="6"/>
  <c r="P38" i="6"/>
  <c r="P34" i="6"/>
  <c r="P40" i="6"/>
  <c r="P36" i="6"/>
  <c r="P39" i="6"/>
  <c r="P35" i="6"/>
  <c r="P42" i="6"/>
  <c r="N6" i="4"/>
  <c r="N5" i="4"/>
  <c r="N7" i="4"/>
  <c r="N8" i="4"/>
  <c r="N9" i="4"/>
  <c r="N10" i="4"/>
  <c r="N11" i="4"/>
  <c r="AB5" i="4"/>
  <c r="AB13" i="4"/>
  <c r="AB10" i="4"/>
  <c r="AB8" i="4"/>
  <c r="AB14" i="4"/>
  <c r="AB12" i="4"/>
  <c r="AB9" i="4"/>
  <c r="AB6" i="4"/>
  <c r="AB15" i="4"/>
  <c r="AB7" i="4"/>
  <c r="AB11" i="4"/>
  <c r="N12" i="4"/>
  <c r="O4" i="4"/>
  <c r="AC4" i="4"/>
  <c r="AA12" i="5"/>
  <c r="N11" i="5"/>
  <c r="M12" i="5" s="1"/>
  <c r="L13" i="5" s="1"/>
  <c r="K14" i="5" s="1"/>
  <c r="J15" i="5" s="1"/>
  <c r="Y11" i="5"/>
  <c r="Z12" i="5" s="1"/>
  <c r="W11" i="5"/>
  <c r="AC11" i="5"/>
  <c r="AD12" i="5" s="1"/>
  <c r="AE13" i="5" s="1"/>
  <c r="AF14" i="5" s="1"/>
  <c r="AG15" i="5" s="1"/>
  <c r="AH16" i="5" s="1"/>
  <c r="AI17" i="5" s="1"/>
  <c r="AJ18" i="5" s="1"/>
  <c r="AK19" i="5" s="1"/>
  <c r="AL20" i="5" s="1"/>
  <c r="AM21" i="5" s="1"/>
  <c r="Q11" i="5"/>
  <c r="R12" i="5" s="1"/>
  <c r="S13" i="5" s="1"/>
  <c r="O11" i="5"/>
  <c r="R11" i="5"/>
  <c r="S12" i="5" s="1"/>
  <c r="T13" i="5" s="1"/>
  <c r="U14" i="5" s="1"/>
  <c r="P11" i="5"/>
  <c r="V15" i="5" l="1"/>
  <c r="O6" i="4"/>
  <c r="O5" i="4"/>
  <c r="O7" i="4"/>
  <c r="O8" i="4"/>
  <c r="O9" i="4"/>
  <c r="O10" i="4"/>
  <c r="O11" i="4"/>
  <c r="O12" i="4"/>
  <c r="O13" i="4"/>
  <c r="AC10" i="4"/>
  <c r="AC7" i="4"/>
  <c r="AC14" i="4"/>
  <c r="AC11" i="4"/>
  <c r="AC9" i="4"/>
  <c r="AC13" i="4"/>
  <c r="AC6" i="4"/>
  <c r="AC12" i="4"/>
  <c r="AC5" i="4"/>
  <c r="AC15" i="4"/>
  <c r="AC8" i="4"/>
  <c r="E15" i="4"/>
  <c r="G14" i="4"/>
  <c r="K14" i="4"/>
  <c r="O14" i="4"/>
  <c r="L14" i="4"/>
  <c r="I14" i="4"/>
  <c r="M14" i="4"/>
  <c r="H14" i="4"/>
  <c r="F14" i="4"/>
  <c r="J14" i="4"/>
  <c r="N14" i="4"/>
  <c r="P4" i="4"/>
  <c r="P14" i="4" s="1"/>
  <c r="AD4" i="4"/>
  <c r="AB13" i="5"/>
  <c r="AC14" i="5" s="1"/>
  <c r="AD15" i="5" s="1"/>
  <c r="AE16" i="5" s="1"/>
  <c r="AF17" i="5" s="1"/>
  <c r="AG18" i="5" s="1"/>
  <c r="AH19" i="5" s="1"/>
  <c r="AI20" i="5" s="1"/>
  <c r="AJ21" i="5" s="1"/>
  <c r="Z13" i="5"/>
  <c r="X12" i="5"/>
  <c r="Y13" i="5" s="1"/>
  <c r="V12" i="5"/>
  <c r="AB12" i="5"/>
  <c r="AC13" i="5" s="1"/>
  <c r="AD14" i="5" s="1"/>
  <c r="AE15" i="5" s="1"/>
  <c r="AF16" i="5" s="1"/>
  <c r="AG17" i="5" s="1"/>
  <c r="AH18" i="5" s="1"/>
  <c r="AI19" i="5" s="1"/>
  <c r="AJ20" i="5" s="1"/>
  <c r="AK21" i="5" s="1"/>
  <c r="P12" i="5"/>
  <c r="Q13" i="5" s="1"/>
  <c r="R14" i="5" s="1"/>
  <c r="N12" i="5"/>
  <c r="M13" i="5" s="1"/>
  <c r="L14" i="5" s="1"/>
  <c r="K15" i="5" s="1"/>
  <c r="Q12" i="5"/>
  <c r="R13" i="5" s="1"/>
  <c r="S14" i="5" s="1"/>
  <c r="T15" i="5" s="1"/>
  <c r="O12" i="5"/>
  <c r="E19" i="5" l="1"/>
  <c r="D20" i="5" s="1"/>
  <c r="J16" i="5"/>
  <c r="U16" i="5"/>
  <c r="AD7" i="4"/>
  <c r="AD5" i="4"/>
  <c r="AD13" i="4"/>
  <c r="AD11" i="4"/>
  <c r="AD8" i="4"/>
  <c r="AD10" i="4"/>
  <c r="AD9" i="4"/>
  <c r="AD14" i="4"/>
  <c r="AD6" i="4"/>
  <c r="AD15" i="4"/>
  <c r="AD12" i="4"/>
  <c r="P5" i="4"/>
  <c r="P6" i="4"/>
  <c r="P7" i="4"/>
  <c r="P8" i="4"/>
  <c r="P9" i="4"/>
  <c r="P10" i="4"/>
  <c r="P11" i="4"/>
  <c r="P12" i="4"/>
  <c r="P13" i="4"/>
  <c r="H15" i="4"/>
  <c r="L15" i="4"/>
  <c r="P15" i="4"/>
  <c r="I15" i="4"/>
  <c r="F15" i="4"/>
  <c r="J15" i="4"/>
  <c r="N15" i="4"/>
  <c r="G15" i="4"/>
  <c r="K15" i="4"/>
  <c r="O15" i="4"/>
  <c r="M15" i="4"/>
  <c r="AA14" i="5"/>
  <c r="AB15" i="5" s="1"/>
  <c r="AC16" i="5" s="1"/>
  <c r="AD17" i="5" s="1"/>
  <c r="AE18" i="5" s="1"/>
  <c r="AF19" i="5" s="1"/>
  <c r="AG20" i="5" s="1"/>
  <c r="AH21" i="5" s="1"/>
  <c r="Y14" i="5"/>
  <c r="U13" i="5"/>
  <c r="W13" i="5"/>
  <c r="X14" i="5" s="1"/>
  <c r="AA13" i="5"/>
  <c r="AB14" i="5" s="1"/>
  <c r="AC15" i="5" s="1"/>
  <c r="AD16" i="5" s="1"/>
  <c r="AE17" i="5" s="1"/>
  <c r="AF18" i="5" s="1"/>
  <c r="AG19" i="5" s="1"/>
  <c r="AH20" i="5" s="1"/>
  <c r="AI21" i="5" s="1"/>
  <c r="O13" i="5"/>
  <c r="P14" i="5" s="1"/>
  <c r="Q15" i="5" s="1"/>
  <c r="P13" i="5"/>
  <c r="Q14" i="5" s="1"/>
  <c r="R15" i="5" s="1"/>
  <c r="S16" i="5" s="1"/>
  <c r="N13" i="5"/>
  <c r="M14" i="5" s="1"/>
  <c r="L15" i="5" s="1"/>
  <c r="C21" i="5" l="1"/>
  <c r="I17" i="5"/>
  <c r="K16" i="5"/>
  <c r="I16" i="5"/>
  <c r="T17" i="5"/>
  <c r="Z15" i="5"/>
  <c r="AA16" i="5" s="1"/>
  <c r="AB17" i="5" s="1"/>
  <c r="AC18" i="5" s="1"/>
  <c r="AD19" i="5" s="1"/>
  <c r="AE20" i="5" s="1"/>
  <c r="AF21" i="5" s="1"/>
  <c r="X15" i="5"/>
  <c r="Z14" i="5"/>
  <c r="AA15" i="5" s="1"/>
  <c r="AB16" i="5" s="1"/>
  <c r="AC17" i="5" s="1"/>
  <c r="AD18" i="5" s="1"/>
  <c r="AE19" i="5" s="1"/>
  <c r="AF20" i="5" s="1"/>
  <c r="AG21" i="5" s="1"/>
  <c r="T14" i="5"/>
  <c r="V14" i="5"/>
  <c r="W15" i="5" s="1"/>
  <c r="N14" i="5"/>
  <c r="O14" i="5"/>
  <c r="P15" i="5" s="1"/>
  <c r="Q16" i="5" s="1"/>
  <c r="R17" i="5" s="1"/>
  <c r="J17" i="5" l="1"/>
  <c r="M15" i="5"/>
  <c r="L16" i="5" s="1"/>
  <c r="K17" i="5" s="1"/>
  <c r="J18" i="5" s="1"/>
  <c r="H18" i="5"/>
  <c r="H17" i="5"/>
  <c r="I18" i="5" s="1"/>
  <c r="S18" i="5"/>
  <c r="Y16" i="5"/>
  <c r="Z17" i="5" s="1"/>
  <c r="AA18" i="5" s="1"/>
  <c r="AB19" i="5" s="1"/>
  <c r="AC20" i="5" s="1"/>
  <c r="AD21" i="5" s="1"/>
  <c r="W16" i="5"/>
  <c r="N15" i="5"/>
  <c r="O16" i="5" s="1"/>
  <c r="P17" i="5" s="1"/>
  <c r="Q18" i="5" s="1"/>
  <c r="Y15" i="5"/>
  <c r="Z16" i="5" s="1"/>
  <c r="AA17" i="5" s="1"/>
  <c r="AB18" i="5" s="1"/>
  <c r="AC19" i="5" s="1"/>
  <c r="AD20" i="5" s="1"/>
  <c r="AE21" i="5" s="1"/>
  <c r="U15" i="5"/>
  <c r="V16" i="5" s="1"/>
  <c r="S15" i="5"/>
  <c r="O15" i="5"/>
  <c r="P16" i="5" s="1"/>
  <c r="R19" i="5" l="1"/>
  <c r="G18" i="5"/>
  <c r="H19" i="5" s="1"/>
  <c r="I19" i="5"/>
  <c r="G19" i="5"/>
  <c r="M16" i="5"/>
  <c r="L17" i="5" s="1"/>
  <c r="K18" i="5" s="1"/>
  <c r="J19" i="5" s="1"/>
  <c r="X17" i="5"/>
  <c r="Y18" i="5" s="1"/>
  <c r="Z19" i="5" s="1"/>
  <c r="AA20" i="5" s="1"/>
  <c r="AB21" i="5" s="1"/>
  <c r="V17" i="5"/>
  <c r="X16" i="5"/>
  <c r="Y17" i="5" s="1"/>
  <c r="Z18" i="5" s="1"/>
  <c r="AA19" i="5" s="1"/>
  <c r="AB20" i="5" s="1"/>
  <c r="AC21" i="5" s="1"/>
  <c r="R16" i="5"/>
  <c r="T16" i="5"/>
  <c r="U17" i="5" s="1"/>
  <c r="N16" i="5"/>
  <c r="F19" i="5" l="1"/>
  <c r="I20" i="5"/>
  <c r="F20" i="5"/>
  <c r="E21" i="5" s="1"/>
  <c r="H20" i="5"/>
  <c r="N17" i="5"/>
  <c r="O18" i="5" s="1"/>
  <c r="P19" i="5" s="1"/>
  <c r="Q20" i="5" s="1"/>
  <c r="W18" i="5"/>
  <c r="X19" i="5" s="1"/>
  <c r="Y20" i="5" s="1"/>
  <c r="Z21" i="5" s="1"/>
  <c r="U18" i="5"/>
  <c r="W17" i="5"/>
  <c r="X18" i="5" s="1"/>
  <c r="Y19" i="5" s="1"/>
  <c r="Z20" i="5" s="1"/>
  <c r="AA21" i="5" s="1"/>
  <c r="S17" i="5"/>
  <c r="T18" i="5" s="1"/>
  <c r="Q17" i="5"/>
  <c r="M17" i="5"/>
  <c r="L18" i="5" s="1"/>
  <c r="K19" i="5" s="1"/>
  <c r="O17" i="5"/>
  <c r="G20" i="5" l="1"/>
  <c r="E20" i="5"/>
  <c r="G21" i="5"/>
  <c r="H21" i="5"/>
  <c r="J20" i="5"/>
  <c r="M18" i="5"/>
  <c r="L19" i="5" s="1"/>
  <c r="K20" i="5" s="1"/>
  <c r="V19" i="5"/>
  <c r="W20" i="5" s="1"/>
  <c r="X21" i="5" s="1"/>
  <c r="T19" i="5"/>
  <c r="R18" i="5"/>
  <c r="S19" i="5" s="1"/>
  <c r="V18" i="5"/>
  <c r="W19" i="5" s="1"/>
  <c r="X20" i="5" s="1"/>
  <c r="Y21" i="5" s="1"/>
  <c r="P18" i="5"/>
  <c r="N18" i="5"/>
  <c r="F21" i="5" l="1"/>
  <c r="D21" i="5"/>
  <c r="N19" i="5"/>
  <c r="O20" i="5" s="1"/>
  <c r="P21" i="5" s="1"/>
  <c r="J21" i="5"/>
  <c r="I21" i="5"/>
  <c r="Q19" i="5"/>
  <c r="R20" i="5" s="1"/>
  <c r="U20" i="5"/>
  <c r="V21" i="5" s="1"/>
  <c r="S20" i="5"/>
  <c r="U19" i="5"/>
  <c r="V20" i="5" s="1"/>
  <c r="W21" i="5" s="1"/>
  <c r="O19" i="5"/>
  <c r="M19" i="5"/>
  <c r="L20" i="5" s="1"/>
  <c r="K21" i="5" s="1"/>
  <c r="M20" i="5" l="1"/>
  <c r="L21" i="5" s="1"/>
  <c r="P20" i="5"/>
  <c r="Q21" i="5" s="1"/>
  <c r="T21" i="5"/>
  <c r="R21" i="5"/>
  <c r="N20" i="5"/>
  <c r="T20" i="5"/>
  <c r="N21" i="5" l="1"/>
  <c r="O21" i="5"/>
  <c r="M21" i="5"/>
  <c r="U21" i="5"/>
  <c r="S21" i="5"/>
</calcChain>
</file>

<file path=xl/sharedStrings.xml><?xml version="1.0" encoding="utf-8"?>
<sst xmlns="http://schemas.openxmlformats.org/spreadsheetml/2006/main" count="63" uniqueCount="39">
  <si>
    <t>Multiplcaton</t>
  </si>
  <si>
    <t>Division X/Y</t>
  </si>
  <si>
    <t>X</t>
  </si>
  <si>
    <t>Y</t>
  </si>
  <si>
    <t>Year</t>
  </si>
  <si>
    <t>Myth of Rule of 72</t>
  </si>
  <si>
    <t>x</t>
  </si>
  <si>
    <t>Compound</t>
  </si>
  <si>
    <t>Simple</t>
  </si>
  <si>
    <t>Division Table</t>
  </si>
  <si>
    <t>o</t>
  </si>
  <si>
    <t>Horizontal</t>
  </si>
  <si>
    <t>result</t>
  </si>
  <si>
    <t>Original</t>
  </si>
  <si>
    <t>5 wolves and 3 sheep</t>
  </si>
  <si>
    <t>|||Vertical</t>
  </si>
  <si>
    <t>\\\ Diagnoal</t>
  </si>
  <si>
    <t>///Diagnoal</t>
  </si>
  <si>
    <t>A</t>
  </si>
  <si>
    <t>B</t>
  </si>
  <si>
    <t>=</t>
  </si>
  <si>
    <t>sum</t>
  </si>
  <si>
    <t>ave</t>
  </si>
  <si>
    <t>Horizonal ---</t>
  </si>
  <si>
    <t>Vertical |||</t>
  </si>
  <si>
    <t>Diagonal XXX</t>
  </si>
  <si>
    <t>Hello World</t>
  </si>
  <si>
    <t>average</t>
  </si>
  <si>
    <t>scores</t>
  </si>
  <si>
    <t>Total</t>
  </si>
  <si>
    <t>Average</t>
  </si>
  <si>
    <t>Id</t>
  </si>
  <si>
    <t>Modulus Table</t>
  </si>
  <si>
    <t>Connect 5</t>
  </si>
  <si>
    <t>2 players take turn to play. You win with 5 pieces in a row, column, or diagonal.</t>
  </si>
  <si>
    <t>sortcut-key: ctrl-c to clean up the game board.</t>
  </si>
  <si>
    <t>Matrix Muplicattion</t>
  </si>
  <si>
    <t>STEP</t>
  </si>
  <si>
    <t>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</si>
</sst>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"/>
  </numFmts>
  <fonts count="22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rgb="FF747474"/>
      <name val="PT Sans"/>
      <family val="2"/>
      <charset val="204"/>
    </font>
    <font>
      <sz val="28"/>
      <color theme="1"/>
      <name val="Calibri"/>
      <family val="2"/>
      <scheme val="minor"/>
    </font>
    <font>
      <sz val="36"/>
      <color theme="3"/>
      <name val="Cambria"/>
      <family val="2"/>
      <scheme val="major"/>
    </font>
    <font>
      <sz val="22"/>
      <color theme="1"/>
      <name val="Calibri"/>
      <family val="2"/>
      <scheme val="minor"/>
    </font>
    <font>
      <b/>
      <sz val="16"/>
      <color theme="1"/>
      <name val="PT Sans"/>
      <family val="2"/>
      <charset val="204"/>
    </font>
    <font>
      <sz val="10"/>
      <color theme="1"/>
      <name val="Calibri"/>
      <family val="2"/>
      <scheme val="minor"/>
    </font>
    <font>
      <sz val="14"/>
      <color rgb="FF000000"/>
      <name val="Calibri"/>
      <family val="2"/>
    </font>
    <font>
      <sz val="8"/>
      <color rgb="FF000000"/>
      <name val="Segoe UI"/>
      <charset val="1"/>
    </font>
    <font>
      <sz val="11"/>
      <color theme="0"/>
      <name val="Calibri"/>
      <family val="2"/>
      <scheme val="minor"/>
    </font>
    <font>
      <sz val="22"/>
      <color rgb="FFFF0000"/>
      <name val="Calibri"/>
      <family val="2"/>
      <scheme val="minor"/>
    </font>
    <font>
      <sz val="72"/>
      <color theme="3"/>
      <name val="Cambria"/>
      <family val="2"/>
      <scheme val="major"/>
    </font>
    <font>
      <sz val="22"/>
      <color theme="6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3"/>
      <name val="Cambria"/>
      <family val="1"/>
      <scheme val="maj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44" fontId="4" fillId="0" borderId="0" applyFont="0" applyFill="0" applyBorder="0" applyAlignment="0" applyProtection="0"/>
    <xf numFmtId="0" fontId="5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6">
    <xf numFmtId="0" fontId="0" fillId="0" borderId="0" xfId="0"/>
    <xf numFmtId="1" fontId="6" fillId="0" borderId="0" xfId="0" applyNumberFormat="1" applyFont="1" applyAlignment="1">
      <alignment horizontal="center"/>
    </xf>
    <xf numFmtId="1" fontId="6" fillId="0" borderId="1" xfId="0" applyNumberFormat="1" applyFont="1" applyFill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9" fontId="3" fillId="0" borderId="0" xfId="49" applyFont="1" applyAlignment="1">
      <alignment horizontal="center"/>
    </xf>
    <xf numFmtId="44" fontId="6" fillId="0" borderId="1" xfId="47" applyFont="1" applyFill="1" applyBorder="1" applyAlignment="1"/>
    <xf numFmtId="44" fontId="6" fillId="0" borderId="0" xfId="47" applyFont="1" applyAlignment="1"/>
    <xf numFmtId="44" fontId="6" fillId="4" borderId="0" xfId="47" applyFont="1" applyFill="1" applyAlignment="1"/>
    <xf numFmtId="1" fontId="6" fillId="4" borderId="0" xfId="0" applyNumberFormat="1" applyFont="1" applyFill="1" applyAlignment="1">
      <alignment horizontal="center"/>
    </xf>
    <xf numFmtId="2" fontId="6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4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9" fillId="0" borderId="0" xfId="0" applyFont="1" applyAlignment="1">
      <alignment horizontal="center" vertical="distributed" wrapText="1"/>
    </xf>
    <xf numFmtId="0" fontId="9" fillId="0" borderId="0" xfId="0" applyFont="1" applyBorder="1" applyAlignment="1">
      <alignment horizontal="center" vertical="distributed" wrapText="1"/>
    </xf>
    <xf numFmtId="22" fontId="9" fillId="0" borderId="0" xfId="0" applyNumberFormat="1" applyFont="1" applyAlignment="1">
      <alignment horizontal="center" vertical="distributed" wrapText="1"/>
    </xf>
    <xf numFmtId="0" fontId="9" fillId="0" borderId="5" xfId="0" applyFont="1" applyBorder="1" applyAlignment="1">
      <alignment horizontal="center" vertical="distributed" wrapText="1"/>
    </xf>
    <xf numFmtId="0" fontId="9" fillId="0" borderId="6" xfId="0" applyFont="1" applyBorder="1" applyAlignment="1">
      <alignment horizontal="center" vertical="distributed" wrapText="1"/>
    </xf>
    <xf numFmtId="0" fontId="9" fillId="0" borderId="7" xfId="0" applyFont="1" applyBorder="1" applyAlignment="1">
      <alignment horizontal="center" vertical="distributed" wrapText="1"/>
    </xf>
    <xf numFmtId="0" fontId="9" fillId="0" borderId="8" xfId="0" applyFont="1" applyBorder="1" applyAlignment="1">
      <alignment horizontal="center" vertical="distributed" wrapText="1"/>
    </xf>
    <xf numFmtId="0" fontId="9" fillId="0" borderId="22" xfId="0" applyFont="1" applyBorder="1" applyAlignment="1">
      <alignment horizontal="center" vertical="distributed" wrapText="1"/>
    </xf>
    <xf numFmtId="0" fontId="9" fillId="0" borderId="1" xfId="0" applyFont="1" applyBorder="1" applyAlignment="1">
      <alignment horizontal="center" vertical="distributed" wrapText="1"/>
    </xf>
    <xf numFmtId="0" fontId="9" fillId="4" borderId="1" xfId="0" applyFont="1" applyFill="1" applyBorder="1" applyAlignment="1">
      <alignment horizontal="center" vertical="distributed" wrapText="1"/>
    </xf>
    <xf numFmtId="22" fontId="9" fillId="0" borderId="0" xfId="0" applyNumberFormat="1" applyFont="1" applyBorder="1" applyAlignment="1">
      <alignment horizontal="center" vertical="distributed" wrapText="1"/>
    </xf>
    <xf numFmtId="0" fontId="9" fillId="0" borderId="10" xfId="0" applyFont="1" applyBorder="1" applyAlignment="1">
      <alignment horizontal="center" vertical="distributed" wrapText="1"/>
    </xf>
    <xf numFmtId="0" fontId="9" fillId="0" borderId="13" xfId="0" applyFont="1" applyBorder="1" applyAlignment="1">
      <alignment horizontal="center" vertical="distributed" wrapText="1"/>
    </xf>
    <xf numFmtId="0" fontId="9" fillId="0" borderId="23" xfId="0" applyFont="1" applyBorder="1" applyAlignment="1">
      <alignment horizontal="center" vertical="distributed" wrapText="1"/>
    </xf>
    <xf numFmtId="0" fontId="9" fillId="0" borderId="21" xfId="0" applyFont="1" applyBorder="1" applyAlignment="1">
      <alignment horizontal="center" vertical="distributed" wrapText="1"/>
    </xf>
    <xf numFmtId="0" fontId="9" fillId="0" borderId="9" xfId="0" applyFont="1" applyBorder="1" applyAlignment="1">
      <alignment horizontal="center" vertical="distributed" wrapText="1"/>
    </xf>
    <xf numFmtId="0" fontId="9" fillId="0" borderId="25" xfId="0" applyFont="1" applyBorder="1" applyAlignment="1">
      <alignment horizontal="center" vertical="distributed" wrapText="1"/>
    </xf>
    <xf numFmtId="0" fontId="9" fillId="0" borderId="11" xfId="0" applyFont="1" applyBorder="1" applyAlignment="1">
      <alignment horizontal="center" vertical="distributed" wrapText="1"/>
    </xf>
    <xf numFmtId="0" fontId="9" fillId="0" borderId="12" xfId="0" applyFont="1" applyBorder="1" applyAlignment="1">
      <alignment horizontal="center" vertical="distributed" wrapText="1"/>
    </xf>
    <xf numFmtId="0" fontId="9" fillId="0" borderId="20" xfId="0" applyFont="1" applyBorder="1" applyAlignment="1">
      <alignment horizontal="center" vertical="distributed" wrapText="1"/>
    </xf>
    <xf numFmtId="0" fontId="9" fillId="0" borderId="18" xfId="0" applyFont="1" applyBorder="1" applyAlignment="1">
      <alignment horizontal="center" vertical="distributed" wrapText="1"/>
    </xf>
    <xf numFmtId="0" fontId="9" fillId="0" borderId="19" xfId="0" applyFont="1" applyBorder="1" applyAlignment="1">
      <alignment horizontal="center" vertical="distributed" wrapText="1"/>
    </xf>
    <xf numFmtId="0" fontId="9" fillId="4" borderId="2" xfId="0" applyFont="1" applyFill="1" applyBorder="1" applyAlignment="1">
      <alignment horizontal="center" vertical="distributed" wrapText="1"/>
    </xf>
    <xf numFmtId="0" fontId="9" fillId="4" borderId="3" xfId="0" applyFont="1" applyFill="1" applyBorder="1" applyAlignment="1">
      <alignment horizontal="center" vertical="distributed" wrapText="1"/>
    </xf>
    <xf numFmtId="0" fontId="9" fillId="0" borderId="26" xfId="0" applyFont="1" applyBorder="1" applyAlignment="1">
      <alignment horizontal="center" vertical="distributed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0" fontId="9" fillId="0" borderId="27" xfId="0" applyFont="1" applyBorder="1" applyAlignment="1">
      <alignment horizontal="center" vertical="distributed" wrapText="1"/>
    </xf>
    <xf numFmtId="0" fontId="12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26" xfId="0" applyFon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0" xfId="0" applyFont="1"/>
    <xf numFmtId="0" fontId="16" fillId="0" borderId="0" xfId="0" applyFont="1"/>
    <xf numFmtId="0" fontId="11" fillId="0" borderId="20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1" fillId="0" borderId="2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9" fillId="0" borderId="29" xfId="0" applyFont="1" applyBorder="1" applyAlignment="1">
      <alignment horizontal="center" vertical="distributed" wrapText="1"/>
    </xf>
    <xf numFmtId="0" fontId="17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9" fillId="4" borderId="0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164" fontId="17" fillId="0" borderId="1" xfId="0" applyNumberFormat="1" applyFont="1" applyBorder="1" applyAlignment="1">
      <alignment horizontal="center" vertical="center"/>
    </xf>
    <xf numFmtId="0" fontId="5" fillId="0" borderId="0" xfId="48" applyBorder="1" applyAlignment="1">
      <alignment horizontal="center"/>
    </xf>
    <xf numFmtId="0" fontId="5" fillId="0" borderId="0" xfId="48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21" fillId="0" borderId="0" xfId="48" applyFont="1" applyBorder="1" applyAlignment="1">
      <alignment horizontal="center"/>
    </xf>
    <xf numFmtId="1" fontId="5" fillId="2" borderId="4" xfId="48" applyNumberFormat="1" applyFill="1" applyBorder="1" applyAlignment="1">
      <alignment horizontal="center"/>
    </xf>
    <xf numFmtId="1" fontId="6" fillId="0" borderId="17" xfId="0" applyNumberFormat="1" applyFont="1" applyBorder="1" applyAlignment="1">
      <alignment horizontal="center"/>
    </xf>
    <xf numFmtId="1" fontId="5" fillId="0" borderId="3" xfId="48" applyNumberFormat="1" applyBorder="1" applyAlignment="1">
      <alignment horizontal="center"/>
    </xf>
    <xf numFmtId="1" fontId="5" fillId="0" borderId="24" xfId="48" applyNumberFormat="1" applyBorder="1" applyAlignment="1">
      <alignment horizontal="center"/>
    </xf>
    <xf numFmtId="1" fontId="5" fillId="0" borderId="30" xfId="48" applyNumberFormat="1" applyBorder="1" applyAlignment="1">
      <alignment horizontal="center"/>
    </xf>
    <xf numFmtId="0" fontId="10" fillId="6" borderId="14" xfId="48" applyFont="1" applyFill="1" applyBorder="1" applyAlignment="1">
      <alignment horizontal="center" vertical="distributed" wrapText="1"/>
    </xf>
    <xf numFmtId="0" fontId="10" fillId="6" borderId="15" xfId="48" applyFont="1" applyFill="1" applyBorder="1" applyAlignment="1">
      <alignment horizontal="center" vertical="distributed" wrapText="1"/>
    </xf>
    <xf numFmtId="0" fontId="9" fillId="0" borderId="17" xfId="0" applyFont="1" applyBorder="1" applyAlignment="1">
      <alignment horizontal="center" vertical="distributed" wrapText="1"/>
    </xf>
    <xf numFmtId="0" fontId="10" fillId="4" borderId="14" xfId="48" applyFont="1" applyFill="1" applyBorder="1" applyAlignment="1">
      <alignment horizontal="center" vertical="distributed" wrapText="1"/>
    </xf>
    <xf numFmtId="0" fontId="10" fillId="4" borderId="15" xfId="48" applyFont="1" applyFill="1" applyBorder="1" applyAlignment="1">
      <alignment horizontal="center" vertical="distributed" wrapText="1"/>
    </xf>
    <xf numFmtId="0" fontId="10" fillId="4" borderId="16" xfId="48" applyFont="1" applyFill="1" applyBorder="1" applyAlignment="1">
      <alignment horizontal="center" vertical="distributed" wrapText="1"/>
    </xf>
    <xf numFmtId="0" fontId="9" fillId="6" borderId="24" xfId="0" applyFont="1" applyFill="1" applyBorder="1" applyAlignment="1">
      <alignment horizontal="center" vertical="distributed" wrapText="1"/>
    </xf>
    <xf numFmtId="0" fontId="9" fillId="0" borderId="24" xfId="0" applyFont="1" applyBorder="1" applyAlignment="1">
      <alignment horizontal="center" vertical="distributed" wrapText="1"/>
    </xf>
    <xf numFmtId="0" fontId="7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5" fillId="0" borderId="0" xfId="48" applyAlignment="1">
      <alignment horizontal="center"/>
    </xf>
    <xf numFmtId="0" fontId="0" fillId="0" borderId="17" xfId="0" applyBorder="1" applyAlignment="1">
      <alignment horizontal="center"/>
    </xf>
    <xf numFmtId="0" fontId="0" fillId="0" borderId="24" xfId="0" applyBorder="1" applyAlignment="1">
      <alignment horizontal="center"/>
    </xf>
    <xf numFmtId="0" fontId="18" fillId="0" borderId="0" xfId="48" applyFont="1" applyBorder="1" applyAlignment="1">
      <alignment horizontal="center" vertical="center"/>
    </xf>
  </cellXfs>
  <cellStyles count="50">
    <cellStyle name="Currency" xfId="47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Normal" xfId="0" builtinId="0"/>
    <cellStyle name="Percent" xfId="49" builtinId="5"/>
    <cellStyle name="Title" xfId="48" builtinId="15"/>
  </cellStyles>
  <dxfs count="52"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ont>
        <color rgb="FFC00000"/>
      </font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FF00"/>
        </patternFill>
      </fill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Compund!$D$6</c:f>
              <c:strCache>
                <c:ptCount val="1"/>
                <c:pt idx="0">
                  <c:v>Compound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Compund!$E$6:$V$6</c:f>
              <c:numCache>
                <c:formatCode>_("$"* #,##0.00_);_("$"* \(#,##0.00\);_("$"* "-"??_);_(@_)</c:formatCode>
                <c:ptCount val="18"/>
                <c:pt idx="0">
                  <c:v>100</c:v>
                </c:pt>
                <c:pt idx="1">
                  <c:v>112</c:v>
                </c:pt>
                <c:pt idx="2">
                  <c:v>125.44</c:v>
                </c:pt>
                <c:pt idx="3">
                  <c:v>140.49279999999999</c:v>
                </c:pt>
                <c:pt idx="4">
                  <c:v>157.35193599999999</c:v>
                </c:pt>
                <c:pt idx="5">
                  <c:v>176.23416831999998</c:v>
                </c:pt>
                <c:pt idx="6">
                  <c:v>197.38226851839997</c:v>
                </c:pt>
                <c:pt idx="7">
                  <c:v>221.06814074060796</c:v>
                </c:pt>
                <c:pt idx="8">
                  <c:v>247.59631762948092</c:v>
                </c:pt>
                <c:pt idx="9">
                  <c:v>277.30787574501863</c:v>
                </c:pt>
                <c:pt idx="10">
                  <c:v>310.58482083442084</c:v>
                </c:pt>
                <c:pt idx="11">
                  <c:v>347.85499933455134</c:v>
                </c:pt>
                <c:pt idx="12">
                  <c:v>389.59759925469751</c:v>
                </c:pt>
                <c:pt idx="13">
                  <c:v>436.34931116526121</c:v>
                </c:pt>
                <c:pt idx="14">
                  <c:v>488.71122850509255</c:v>
                </c:pt>
                <c:pt idx="15">
                  <c:v>547.35657592570362</c:v>
                </c:pt>
                <c:pt idx="16">
                  <c:v>613.03936503678801</c:v>
                </c:pt>
                <c:pt idx="17">
                  <c:v>686.60408884120261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33-B846-AFAD-044BD0EACFC1}"/>
            </c:ext>
          </c:extLst>
        </c:ser>
        <c:ser>
          <c:idx val="1"/>
          <c:order val="1"/>
          <c:tx>
            <c:strRef>
              <c:f>Compund!$D$7</c:f>
              <c:strCache>
                <c:ptCount val="1"/>
                <c:pt idx="0">
                  <c:v>Simple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Compund!$E$7:$V$7</c:f>
              <c:numCache>
                <c:formatCode>_("$"* #,##0.00_);_("$"* \(#,##0.00\);_("$"* "-"??_);_(@_)</c:formatCode>
                <c:ptCount val="18"/>
                <c:pt idx="0">
                  <c:v>100</c:v>
                </c:pt>
                <c:pt idx="1">
                  <c:v>112</c:v>
                </c:pt>
                <c:pt idx="2">
                  <c:v>124</c:v>
                </c:pt>
                <c:pt idx="3">
                  <c:v>136</c:v>
                </c:pt>
                <c:pt idx="4">
                  <c:v>148</c:v>
                </c:pt>
                <c:pt idx="5">
                  <c:v>160</c:v>
                </c:pt>
                <c:pt idx="6">
                  <c:v>172</c:v>
                </c:pt>
                <c:pt idx="7">
                  <c:v>184</c:v>
                </c:pt>
                <c:pt idx="8">
                  <c:v>196</c:v>
                </c:pt>
                <c:pt idx="9">
                  <c:v>208</c:v>
                </c:pt>
                <c:pt idx="10">
                  <c:v>220</c:v>
                </c:pt>
                <c:pt idx="11">
                  <c:v>232</c:v>
                </c:pt>
                <c:pt idx="12">
                  <c:v>244</c:v>
                </c:pt>
                <c:pt idx="13">
                  <c:v>256</c:v>
                </c:pt>
                <c:pt idx="14">
                  <c:v>268</c:v>
                </c:pt>
                <c:pt idx="15">
                  <c:v>280</c:v>
                </c:pt>
                <c:pt idx="16">
                  <c:v>292</c:v>
                </c:pt>
                <c:pt idx="17">
                  <c:v>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33-B846-AFAD-044BD0EAC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6183359"/>
        <c:axId val="256185039"/>
      </c:lineChart>
      <c:catAx>
        <c:axId val="2561833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185039"/>
        <c:crosses val="autoZero"/>
        <c:auto val="1"/>
        <c:lblAlgn val="ctr"/>
        <c:lblOffset val="100"/>
        <c:noMultiLvlLbl val="0"/>
      </c:catAx>
      <c:valAx>
        <c:axId val="256185039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183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gradFill>
        <a:gsLst>
          <a:gs pos="0">
            <a:schemeClr val="accent1">
              <a:lumMod val="5000"/>
              <a:lumOff val="95000"/>
            </a:schemeClr>
          </a:gs>
          <a:gs pos="74000">
            <a:schemeClr val="accent1">
              <a:lumMod val="45000"/>
              <a:lumOff val="55000"/>
            </a:schemeClr>
          </a:gs>
          <a:gs pos="83000">
            <a:schemeClr val="accent1">
              <a:lumMod val="45000"/>
              <a:lumOff val="55000"/>
            </a:schemeClr>
          </a:gs>
          <a:gs pos="100000">
            <a:schemeClr val="accent1">
              <a:lumMod val="30000"/>
              <a:lumOff val="70000"/>
            </a:schemeClr>
          </a:gs>
        </a:gsLst>
        <a:lin ang="5400000" scaled="1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Compund!$D$6</c:f>
              <c:strCache>
                <c:ptCount val="1"/>
                <c:pt idx="0">
                  <c:v>Compound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Compund!$E$6:$W$6</c:f>
              <c:numCache>
                <c:formatCode>_("$"* #,##0.00_);_("$"* \(#,##0.00\);_("$"* "-"??_);_(@_)</c:formatCode>
                <c:ptCount val="19"/>
                <c:pt idx="0">
                  <c:v>100</c:v>
                </c:pt>
                <c:pt idx="1">
                  <c:v>112</c:v>
                </c:pt>
                <c:pt idx="2">
                  <c:v>125.44</c:v>
                </c:pt>
                <c:pt idx="3">
                  <c:v>140.49279999999999</c:v>
                </c:pt>
                <c:pt idx="4">
                  <c:v>157.35193599999999</c:v>
                </c:pt>
                <c:pt idx="5">
                  <c:v>176.23416831999998</c:v>
                </c:pt>
                <c:pt idx="6">
                  <c:v>197.38226851839997</c:v>
                </c:pt>
                <c:pt idx="7">
                  <c:v>221.06814074060796</c:v>
                </c:pt>
                <c:pt idx="8">
                  <c:v>247.59631762948092</c:v>
                </c:pt>
                <c:pt idx="9">
                  <c:v>277.30787574501863</c:v>
                </c:pt>
                <c:pt idx="10">
                  <c:v>310.58482083442084</c:v>
                </c:pt>
                <c:pt idx="11">
                  <c:v>347.85499933455134</c:v>
                </c:pt>
                <c:pt idx="12">
                  <c:v>389.59759925469751</c:v>
                </c:pt>
                <c:pt idx="13">
                  <c:v>436.34931116526121</c:v>
                </c:pt>
                <c:pt idx="14">
                  <c:v>488.71122850509255</c:v>
                </c:pt>
                <c:pt idx="15">
                  <c:v>547.35657592570362</c:v>
                </c:pt>
                <c:pt idx="16">
                  <c:v>613.03936503678801</c:v>
                </c:pt>
                <c:pt idx="17">
                  <c:v>686.60408884120261</c:v>
                </c:pt>
                <c:pt idx="18">
                  <c:v>768.99657950214691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1C-2247-A7CD-4A0543B4702F}"/>
            </c:ext>
          </c:extLst>
        </c:ser>
        <c:ser>
          <c:idx val="1"/>
          <c:order val="1"/>
          <c:tx>
            <c:strRef>
              <c:f>Compund!$D$7</c:f>
              <c:strCache>
                <c:ptCount val="1"/>
                <c:pt idx="0">
                  <c:v>Simple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Compund!$E$7:$W$7</c:f>
              <c:numCache>
                <c:formatCode>_("$"* #,##0.00_);_("$"* \(#,##0.00\);_("$"* "-"??_);_(@_)</c:formatCode>
                <c:ptCount val="19"/>
                <c:pt idx="0">
                  <c:v>100</c:v>
                </c:pt>
                <c:pt idx="1">
                  <c:v>112</c:v>
                </c:pt>
                <c:pt idx="2">
                  <c:v>124</c:v>
                </c:pt>
                <c:pt idx="3">
                  <c:v>136</c:v>
                </c:pt>
                <c:pt idx="4">
                  <c:v>148</c:v>
                </c:pt>
                <c:pt idx="5">
                  <c:v>160</c:v>
                </c:pt>
                <c:pt idx="6">
                  <c:v>172</c:v>
                </c:pt>
                <c:pt idx="7">
                  <c:v>184</c:v>
                </c:pt>
                <c:pt idx="8">
                  <c:v>196</c:v>
                </c:pt>
                <c:pt idx="9">
                  <c:v>208</c:v>
                </c:pt>
                <c:pt idx="10">
                  <c:v>220</c:v>
                </c:pt>
                <c:pt idx="11">
                  <c:v>232</c:v>
                </c:pt>
                <c:pt idx="12">
                  <c:v>244</c:v>
                </c:pt>
                <c:pt idx="13">
                  <c:v>256</c:v>
                </c:pt>
                <c:pt idx="14">
                  <c:v>268</c:v>
                </c:pt>
                <c:pt idx="15">
                  <c:v>280</c:v>
                </c:pt>
                <c:pt idx="16">
                  <c:v>292</c:v>
                </c:pt>
                <c:pt idx="17">
                  <c:v>304</c:v>
                </c:pt>
                <c:pt idx="18">
                  <c:v>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1C-2247-A7CD-4A0543B47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8126351"/>
        <c:axId val="368128031"/>
      </c:barChart>
      <c:catAx>
        <c:axId val="36812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128031"/>
        <c:crosses val="autoZero"/>
        <c:auto val="1"/>
        <c:lblAlgn val="ctr"/>
        <c:lblOffset val="100"/>
        <c:noMultiLvlLbl val="0"/>
      </c:catAx>
      <c:valAx>
        <c:axId val="368128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126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fmlaLink="$S$1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642056</xdr:colOff>
      <xdr:row>9</xdr:row>
      <xdr:rowOff>157104</xdr:rowOff>
    </xdr:from>
    <xdr:to>
      <xdr:col>14</xdr:col>
      <xdr:colOff>787871</xdr:colOff>
      <xdr:row>26</xdr:row>
      <xdr:rowOff>188148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265759</xdr:colOff>
      <xdr:row>10</xdr:row>
      <xdr:rowOff>86547</xdr:rowOff>
    </xdr:from>
    <xdr:to>
      <xdr:col>26</xdr:col>
      <xdr:colOff>141111</xdr:colOff>
      <xdr:row>27</xdr:row>
      <xdr:rowOff>152870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1552575</xdr:colOff>
      <xdr:row>0</xdr:row>
      <xdr:rowOff>209549</xdr:rowOff>
    </xdr:from>
    <xdr:to>
      <xdr:col>18</xdr:col>
      <xdr:colOff>76200</xdr:colOff>
      <xdr:row>7</xdr:row>
      <xdr:rowOff>76200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267575" y="209549"/>
          <a:ext cx="1812925" cy="2305051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tIns="46800" rtlCol="0" anchor="t"/>
        <a:lstStyle/>
        <a:p>
          <a:pPr algn="l"/>
          <a:r>
            <a:rPr lang="en-GB" sz="1400" b="1">
              <a:solidFill>
                <a:sysClr val="windowText" lastClr="000000"/>
              </a:solidFill>
              <a:latin typeface="+mn-lt"/>
            </a:rPr>
            <a:t>Helpers</a:t>
          </a:r>
          <a:endParaRPr lang="en-GB" sz="11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11</xdr:col>
      <xdr:colOff>1558925</xdr:colOff>
      <xdr:row>0</xdr:row>
      <xdr:rowOff>317500</xdr:rowOff>
    </xdr:from>
    <xdr:to>
      <xdr:col>15</xdr:col>
      <xdr:colOff>0</xdr:colOff>
      <xdr:row>7</xdr:row>
      <xdr:rowOff>12700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7273925" y="317500"/>
          <a:ext cx="1400175" cy="23114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400" b="1"/>
            <a:t>New Game</a:t>
          </a:r>
        </a:p>
      </xdr:txBody>
    </xdr:sp>
    <xdr:clientData/>
  </xdr:twoCellAnchor>
  <xdr:twoCellAnchor>
    <xdr:from>
      <xdr:col>11</xdr:col>
      <xdr:colOff>57150</xdr:colOff>
      <xdr:row>7</xdr:row>
      <xdr:rowOff>133350</xdr:rowOff>
    </xdr:from>
    <xdr:to>
      <xdr:col>18</xdr:col>
      <xdr:colOff>104775</xdr:colOff>
      <xdr:row>9</xdr:row>
      <xdr:rowOff>361950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5772150" y="2571750"/>
          <a:ext cx="3336925" cy="9652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7</xdr:row>
          <xdr:rowOff>317500</xdr:rowOff>
        </xdr:from>
        <xdr:to>
          <xdr:col>17</xdr:col>
          <xdr:colOff>76200</xdr:colOff>
          <xdr:row>8</xdr:row>
          <xdr:rowOff>215900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2</xdr:row>
          <xdr:rowOff>330200</xdr:rowOff>
        </xdr:from>
        <xdr:to>
          <xdr:col>11</xdr:col>
          <xdr:colOff>457200</xdr:colOff>
          <xdr:row>4</xdr:row>
          <xdr:rowOff>50800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Medium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2</xdr:row>
          <xdr:rowOff>25400</xdr:rowOff>
        </xdr:from>
        <xdr:to>
          <xdr:col>11</xdr:col>
          <xdr:colOff>457200</xdr:colOff>
          <xdr:row>3</xdr:row>
          <xdr:rowOff>50800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3</xdr:row>
          <xdr:rowOff>279400</xdr:rowOff>
        </xdr:from>
        <xdr:to>
          <xdr:col>11</xdr:col>
          <xdr:colOff>457200</xdr:colOff>
          <xdr:row>5</xdr:row>
          <xdr:rowOff>38100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8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4</xdr:row>
          <xdr:rowOff>215900</xdr:rowOff>
        </xdr:from>
        <xdr:to>
          <xdr:col>11</xdr:col>
          <xdr:colOff>457200</xdr:colOff>
          <xdr:row>6</xdr:row>
          <xdr:rowOff>38100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8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5</xdr:row>
          <xdr:rowOff>152400</xdr:rowOff>
        </xdr:from>
        <xdr:to>
          <xdr:col>11</xdr:col>
          <xdr:colOff>457200</xdr:colOff>
          <xdr:row>6</xdr:row>
          <xdr:rowOff>190500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8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Extreme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6</xdr:row>
          <xdr:rowOff>101600</xdr:rowOff>
        </xdr:from>
        <xdr:to>
          <xdr:col>11</xdr:col>
          <xdr:colOff>457200</xdr:colOff>
          <xdr:row>7</xdr:row>
          <xdr:rowOff>127000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8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Oh Dear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25400</xdr:colOff>
          <xdr:row>5</xdr:row>
          <xdr:rowOff>165100</xdr:rowOff>
        </xdr:from>
        <xdr:to>
          <xdr:col>17</xdr:col>
          <xdr:colOff>114300</xdr:colOff>
          <xdr:row>6</xdr:row>
          <xdr:rowOff>25400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8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Reveal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8</xdr:row>
          <xdr:rowOff>317500</xdr:rowOff>
        </xdr:from>
        <xdr:to>
          <xdr:col>11</xdr:col>
          <xdr:colOff>1397000</xdr:colOff>
          <xdr:row>9</xdr:row>
          <xdr:rowOff>203200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8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Unsolve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2</xdr:row>
          <xdr:rowOff>330200</xdr:rowOff>
        </xdr:from>
        <xdr:to>
          <xdr:col>14</xdr:col>
          <xdr:colOff>0</xdr:colOff>
          <xdr:row>4</xdr:row>
          <xdr:rowOff>50800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8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2</xdr:row>
          <xdr:rowOff>25400</xdr:rowOff>
        </xdr:from>
        <xdr:to>
          <xdr:col>14</xdr:col>
          <xdr:colOff>0</xdr:colOff>
          <xdr:row>3</xdr:row>
          <xdr:rowOff>50800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8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No Aids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3</xdr:row>
          <xdr:rowOff>292100</xdr:rowOff>
        </xdr:from>
        <xdr:to>
          <xdr:col>14</xdr:col>
          <xdr:colOff>0</xdr:colOff>
          <xdr:row>5</xdr:row>
          <xdr:rowOff>38100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8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4</xdr:row>
          <xdr:rowOff>215900</xdr:rowOff>
        </xdr:from>
        <xdr:to>
          <xdr:col>14</xdr:col>
          <xdr:colOff>0</xdr:colOff>
          <xdr:row>6</xdr:row>
          <xdr:rowOff>50800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8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Next 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1651000</xdr:colOff>
          <xdr:row>8</xdr:row>
          <xdr:rowOff>317500</xdr:rowOff>
        </xdr:from>
        <xdr:to>
          <xdr:col>17</xdr:col>
          <xdr:colOff>76200</xdr:colOff>
          <xdr:row>9</xdr:row>
          <xdr:rowOff>203200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8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6</xdr:row>
          <xdr:rowOff>139700</xdr:rowOff>
        </xdr:from>
        <xdr:to>
          <xdr:col>14</xdr:col>
          <xdr:colOff>0</xdr:colOff>
          <xdr:row>7</xdr:row>
          <xdr:rowOff>355600</xdr:rowOff>
        </xdr:to>
        <xdr:sp macro="" textlink="">
          <xdr:nvSpPr>
            <xdr:cNvPr id="10255" name="Check Box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8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</a:rPr>
                <a:t>Highlight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pplications/MAMP/htdocs/classes/csci8_chabot/my.midterm/exCel/Sudoku-Puzzle-Cre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bug"/>
      <sheetName val="Sudoku"/>
      <sheetName val="Easy"/>
      <sheetName val="Medium"/>
      <sheetName val="Hard"/>
      <sheetName val="Expert"/>
      <sheetName val="Extreme"/>
      <sheetName val="Oh dear"/>
      <sheetName val="Help"/>
      <sheetName val="Sudoku-Puzzle-Creator"/>
    </sheetNames>
    <definedNames>
      <definedName name="Check"/>
      <definedName name="CreateEasyPuzzle"/>
      <definedName name="CreateExpertPuzzle"/>
      <definedName name="CreateExtremePuzzle"/>
      <definedName name="CreateHardPuzzle"/>
      <definedName name="CreateMediumPuzzle"/>
      <definedName name="CreateOhDearPuzzle"/>
      <definedName name="Help"/>
      <definedName name="Highlight"/>
      <definedName name="NextMove"/>
      <definedName name="RemoveAids"/>
      <definedName name="Reset"/>
      <definedName name="SolveGridOnScreen"/>
      <definedName name="UnSolve"/>
    </definedNames>
    <sheetDataSet>
      <sheetData sheetId="0">
        <row r="16">
          <cell r="N16">
            <v>0</v>
          </cell>
        </row>
        <row r="17">
          <cell r="N17">
            <v>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file://////%20Diagnoal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643BD-FB14-0844-803B-5EB0857BD617}">
  <sheetPr codeName="Sheet2"/>
  <dimension ref="C3:AP30"/>
  <sheetViews>
    <sheetView tabSelected="1" topLeftCell="A5" zoomScale="102" zoomScaleNormal="188" workbookViewId="0">
      <selection activeCell="H8" sqref="H8"/>
    </sheetView>
  </sheetViews>
  <sheetFormatPr baseColWidth="10" defaultColWidth="4.83203125" defaultRowHeight="20" customHeight="1"/>
  <cols>
    <col min="1" max="3" width="4.83203125" style="54"/>
    <col min="4" max="4" width="5.1640625" style="54" bestFit="1" customWidth="1"/>
    <col min="5" max="5" width="5" style="54" bestFit="1" customWidth="1"/>
    <col min="6" max="6" width="5.1640625" style="54" bestFit="1" customWidth="1"/>
    <col min="7" max="7" width="5" style="54" bestFit="1" customWidth="1"/>
    <col min="8" max="8" width="5.1640625" style="54" bestFit="1" customWidth="1"/>
    <col min="9" max="9" width="5" style="54" bestFit="1" customWidth="1"/>
    <col min="10" max="10" width="5.1640625" style="54" bestFit="1" customWidth="1"/>
    <col min="11" max="11" width="4.83203125" style="54"/>
    <col min="12" max="14" width="5" style="54" bestFit="1" customWidth="1"/>
    <col min="15" max="25" width="4.83203125" style="54"/>
    <col min="26" max="35" width="5.5" style="54" bestFit="1" customWidth="1"/>
    <col min="36" max="41" width="5.33203125" style="54" bestFit="1" customWidth="1"/>
    <col min="42" max="16384" width="4.83203125" style="54"/>
  </cols>
  <sheetData>
    <row r="3" spans="3:42" ht="20" customHeight="1">
      <c r="D3" s="81" t="s">
        <v>33</v>
      </c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0"/>
      <c r="W3" s="80"/>
      <c r="X3" s="80"/>
    </row>
    <row r="4" spans="3:42" ht="20" customHeight="1">
      <c r="C4" s="84" t="s">
        <v>34</v>
      </c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0"/>
      <c r="X4" s="80"/>
    </row>
    <row r="5" spans="3:42" ht="20" customHeight="1">
      <c r="D5" s="82" t="s">
        <v>35</v>
      </c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</row>
    <row r="7" spans="3:42" ht="20" customHeight="1">
      <c r="H7" s="54" t="s">
        <v>37</v>
      </c>
      <c r="I7" s="54" t="s">
        <v>38</v>
      </c>
      <c r="J7" s="54">
        <f>COUNTA(E10:U29)</f>
        <v>2</v>
      </c>
    </row>
    <row r="10" spans="3:42" ht="20" customHeight="1"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Z10" s="53" t="b">
        <f>AND(E10&lt;&gt;"", OR( AND(E10=A6,E10=B7,E10=C8,E10=D9), AND(E10=B7,E10=C8,E10=D9,E10=F11), AND(E10=C8,E10=D9,E10=F11,E10=G12), AND(E10=D9,E10=F11,E10=G12,E10=H13), AND(E10=F11,E10=G12,E10=H13,E10=I14), AND(E10=A14,E10=B13,E10=C12,E10=D11), AND(E10=B13,E10=C12,E10=D11,E10=F9), AND(E10=C12,E10=D11,E10=F9,E10=G8), AND(E10=D11,E10=F9,E10=G8,E10=H7), AND(E10=F9,E10=G8,E10=H7,E10=I6), AND(E10=E6,E10=E7,E10=E8,E10=E9), AND(E10=E7,E10=E8,E10=E9,E10=E11), AND(E10=E8,E10=E9,E10=E11,E10=E12), AND(E10=E9,E10=E11,E10=E12,E10=E13), AND(E10=E11,E10=E12,E10=E13,E10=E14), AND(E10=A10,E10=B10,E10=C10,E10=D10), AND(E10=B10,E10=C10,E10=D10,E10=F10), AND(E10=C10,E10=D10,E10=F10,E10=G10), AND(E10=D10,E10=F10,E10=G10,E10=H10), AND(E10=F10,E10=G10,E10=H10,E10=I10)) )</f>
        <v>0</v>
      </c>
      <c r="AA10" s="53" t="b">
        <f t="shared" ref="AA10:AO10" si="0">AND(F10&lt;&gt;"", OR( AND(F10=B6,F10=C7,F10=D8,F10=E9), AND(F10=C7,F10=D8,F10=E9,F10=G11), AND(F10=D8,F10=E9,F10=G11,F10=H12), AND(F10=E9,F10=G11,F10=H12,F10=I13), AND(F10=G11,F10=H12,F10=I13,F10=J14), AND(F10=B14,F10=C13,F10=D12,F10=E11), AND(F10=C13,F10=D12,F10=E11,F10=G9), AND(F10=D12,F10=E11,F10=G9,F10=H8), AND(F10=E11,F10=G9,F10=H8,F10=I7), AND(F10=G9,F10=H8,F10=I7,F10=J6), AND(F10=F6,F10=F7,F10=F8,F10=F9), AND(F10=F7,F10=F8,F10=F9,F10=F11), AND(F10=F8,F10=F9,F10=F11,F10=F12), AND(F10=F9,F10=F11,F10=F12,F10=F13), AND(F10=F11,F10=F12,F10=F13,F10=F14), AND(F10=B10,F10=C10,F10=D10,F10=E10), AND(F10=C10,F10=D10,F10=E10,F10=G10), AND(F10=D10,F10=E10,F10=G10,F10=H10), AND(F10=E10,F10=G10,F10=H10,F10=I10), AND(F10=G10,F10=H10,F10=I10,F10=J10)) )</f>
        <v>0</v>
      </c>
      <c r="AB10" s="53" t="b">
        <f t="shared" si="0"/>
        <v>0</v>
      </c>
      <c r="AC10" s="53" t="b">
        <f t="shared" si="0"/>
        <v>0</v>
      </c>
      <c r="AD10" s="53" t="b">
        <f t="shared" si="0"/>
        <v>0</v>
      </c>
      <c r="AE10" s="53" t="b">
        <f t="shared" si="0"/>
        <v>0</v>
      </c>
      <c r="AF10" s="53" t="b">
        <f t="shared" si="0"/>
        <v>0</v>
      </c>
      <c r="AG10" s="53" t="b">
        <f t="shared" si="0"/>
        <v>0</v>
      </c>
      <c r="AH10" s="53" t="b">
        <f t="shared" si="0"/>
        <v>0</v>
      </c>
      <c r="AI10" s="53" t="b">
        <f t="shared" si="0"/>
        <v>0</v>
      </c>
      <c r="AJ10" s="53" t="b">
        <f t="shared" si="0"/>
        <v>0</v>
      </c>
      <c r="AK10" s="53" t="b">
        <f t="shared" si="0"/>
        <v>0</v>
      </c>
      <c r="AL10" s="53" t="b">
        <f t="shared" si="0"/>
        <v>0</v>
      </c>
      <c r="AM10" s="53" t="b">
        <f t="shared" si="0"/>
        <v>0</v>
      </c>
      <c r="AN10" s="53" t="b">
        <f t="shared" si="0"/>
        <v>0</v>
      </c>
      <c r="AO10" s="53" t="b">
        <f t="shared" si="0"/>
        <v>0</v>
      </c>
      <c r="AP10" s="53" t="b">
        <f>AND(U10&lt;&gt;"", OR( AND(U10=Q6,U10=R7,U10=S8,U10=T9), AND(U10=R7,U10=S8,U10=T9,U10=V11), AND(U10=S8,U10=T9,U10=V11,U10=W12), AND(U10=T9,U10=V11,U10=W12,U10=X13), AND(U10=V11,U10=W12,U10=X13,U10=Y14), AND(U10=Q14,U10=R13,U10=S12,U10=T11), AND(U10=R13,U10=S12,U10=T11,U10=V9), AND(U10=S12,U10=T11,U10=V9,U10=W8), AND(U10=T11,U10=V9,U10=W8,U10=X7), AND(U10=V9,U10=W8,U10=X7,U10=Y6), AND(U10=U6,U10=U7,U10=U8,U10=U9), AND(U10=U7,U10=U8,U10=U9,U10=U11), AND(U10=U8,U10=U9,U10=U11,U10=U12), AND(U10=U9,U10=U11,U10=U12,U10=U13), AND(U10=U11,U10=U12,U10=U13,U10=U14), AND(U10=Q10,U10=R10,U10=S10,U10=T10), AND(U10=R10,U10=S10,U10=T10,U10=V10), AND(U10=S10,U10=T10,U10=V10,U10=W10), AND(U10=T10,U10=V10,U10=W10,U10=X10), AND(U10=V10,U10=W10,U10=X10,U10=Y10)) )</f>
        <v>0</v>
      </c>
    </row>
    <row r="11" spans="3:42" ht="20" customHeight="1">
      <c r="E11" s="53"/>
      <c r="F11" s="53"/>
      <c r="G11" s="53"/>
      <c r="H11" s="53">
        <v>1</v>
      </c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Z11" s="53" t="b">
        <f t="shared" ref="Z11:Z29" si="1">AND(E11&lt;&gt;"", OR( AND(E11=A7,E11=B8,E11=C9,E11=D10), AND(E11=B8,E11=C9,E11=D10,E11=F12), AND(E11=C9,E11=D10,E11=F12,E11=G13), AND(E11=D10,E11=F12,E11=G13,E11=H14), AND(E11=F12,E11=G13,E11=H14,E11=I15), AND(E11=A15,E11=B14,E11=C13,E11=D12), AND(E11=B14,E11=C13,E11=D12,E11=F10), AND(E11=C13,E11=D12,E11=F10,E11=G9), AND(E11=D12,E11=F10,E11=G9,E11=H8), AND(E11=F10,E11=G9,E11=H8,E11=I7), AND(E11=E7,E11=E8,E11=E9,E11=E10), AND(E11=E8,E11=E9,E11=E10,E11=E12), AND(E11=E9,E11=E10,E11=E12,E11=E13), AND(E11=E10,E11=E12,E11=E13,E11=E14), AND(E11=E12,E11=E13,E11=E14,E11=E15), AND(E11=A11,E11=B11,E11=C11,E11=D11), AND(E11=B11,E11=C11,E11=D11,E11=F11), AND(E11=C11,E11=D11,E11=F11,E11=G11), AND(E11=D11,E11=F11,E11=G11,E11=H11), AND(E11=F11,E11=G11,E11=H11,E11=I11)) )</f>
        <v>0</v>
      </c>
      <c r="AA11" s="53" t="b">
        <f t="shared" ref="AA11:AA29" si="2">AND(F11&lt;&gt;"", OR( AND(F11=B7,F11=C8,F11=D9,F11=E10), AND(F11=C8,F11=D9,F11=E10,F11=G12), AND(F11=D9,F11=E10,F11=G12,F11=H13), AND(F11=E10,F11=G12,F11=H13,F11=I14), AND(F11=G12,F11=H13,F11=I14,F11=J15), AND(F11=B15,F11=C14,F11=D13,F11=E12), AND(F11=C14,F11=D13,F11=E12,F11=G10), AND(F11=D13,F11=E12,F11=G10,F11=H9), AND(F11=E12,F11=G10,F11=H9,F11=I8), AND(F11=G10,F11=H9,F11=I8,F11=J7), AND(F11=F7,F11=F8,F11=F9,F11=F10), AND(F11=F8,F11=F9,F11=F10,F11=F12), AND(F11=F9,F11=F10,F11=F12,F11=F13), AND(F11=F10,F11=F12,F11=F13,F11=F14), AND(F11=F12,F11=F13,F11=F14,F11=F15), AND(F11=B11,F11=C11,F11=D11,F11=E11), AND(F11=C11,F11=D11,F11=E11,F11=G11), AND(F11=D11,F11=E11,F11=G11,F11=H11), AND(F11=E11,F11=G11,F11=H11,F11=I11), AND(F11=G11,F11=H11,F11=I11,F11=J11)) )</f>
        <v>0</v>
      </c>
      <c r="AB11" s="53" t="b">
        <f t="shared" ref="AB11:AB29" si="3">AND(G11&lt;&gt;"", OR( AND(G11=C7,G11=D8,G11=E9,G11=F10), AND(G11=D8,G11=E9,G11=F10,G11=H12), AND(G11=E9,G11=F10,G11=H12,G11=I13), AND(G11=F10,G11=H12,G11=I13,G11=J14), AND(G11=H12,G11=I13,G11=J14,G11=K15), AND(G11=C15,G11=D14,G11=E13,G11=F12), AND(G11=D14,G11=E13,G11=F12,G11=H10), AND(G11=E13,G11=F12,G11=H10,G11=I9), AND(G11=F12,G11=H10,G11=I9,G11=J8), AND(G11=H10,G11=I9,G11=J8,G11=K7), AND(G11=G7,G11=G8,G11=G9,G11=G10), AND(G11=G8,G11=G9,G11=G10,G11=G12), AND(G11=G9,G11=G10,G11=G12,G11=G13), AND(G11=G10,G11=G12,G11=G13,G11=G14), AND(G11=G12,G11=G13,G11=G14,G11=G15), AND(G11=C11,G11=D11,G11=E11,G11=F11), AND(G11=D11,G11=E11,G11=F11,G11=H11), AND(G11=E11,G11=F11,G11=H11,G11=I11), AND(G11=F11,G11=H11,G11=I11,G11=J11), AND(G11=H11,G11=I11,G11=J11,G11=K11)) )</f>
        <v>0</v>
      </c>
      <c r="AC11" s="53" t="b">
        <f t="shared" ref="AC11:AC29" si="4">AND(H11&lt;&gt;"", OR( AND(H11=D7,H11=E8,H11=F9,H11=G10), AND(H11=E8,H11=F9,H11=G10,H11=I12), AND(H11=F9,H11=G10,H11=I12,H11=J13), AND(H11=G10,H11=I12,H11=J13,H11=K14), AND(H11=I12,H11=J13,H11=K14,H11=L15), AND(H11=D15,H11=E14,H11=F13,H11=G12), AND(H11=E14,H11=F13,H11=G12,H11=I10), AND(H11=F13,H11=G12,H11=I10,H11=J9), AND(H11=G12,H11=I10,H11=J9,H11=K8), AND(H11=I10,H11=J9,H11=K8,H11=L7), AND(H11=H7,H11=H8,H11=H9,H11=H10), AND(H11=H8,H11=H9,H11=H10,H11=H12), AND(H11=H9,H11=H10,H11=H12,H11=H13), AND(H11=H10,H11=H12,H11=H13,H11=H14), AND(H11=H12,H11=H13,H11=H14,H11=H15), AND(H11=D11,H11=E11,H11=F11,H11=G11), AND(H11=E11,H11=F11,H11=G11,H11=I11), AND(H11=F11,H11=G11,H11=I11,H11=J11), AND(H11=G11,H11=I11,H11=J11,H11=K11), AND(H11=I11,H11=J11,H11=K11,H11=L11)) )</f>
        <v>0</v>
      </c>
      <c r="AD11" s="53" t="b">
        <f t="shared" ref="AD11:AD29" si="5">AND(I11&lt;&gt;"", OR( AND(I11=E7,I11=F8,I11=G9,I11=H10), AND(I11=F8,I11=G9,I11=H10,I11=J12), AND(I11=G9,I11=H10,I11=J12,I11=K13), AND(I11=H10,I11=J12,I11=K13,I11=L14), AND(I11=J12,I11=K13,I11=L14,I11=M15), AND(I11=E15,I11=F14,I11=G13,I11=H12), AND(I11=F14,I11=G13,I11=H12,I11=J10), AND(I11=G13,I11=H12,I11=J10,I11=K9), AND(I11=H12,I11=J10,I11=K9,I11=L8), AND(I11=J10,I11=K9,I11=L8,I11=M7), AND(I11=I7,I11=I8,I11=I9,I11=I10), AND(I11=I8,I11=I9,I11=I10,I11=I12), AND(I11=I9,I11=I10,I11=I12,I11=I13), AND(I11=I10,I11=I12,I11=I13,I11=I14), AND(I11=I12,I11=I13,I11=I14,I11=I15), AND(I11=E11,I11=F11,I11=G11,I11=H11), AND(I11=F11,I11=G11,I11=H11,I11=J11), AND(I11=G11,I11=H11,I11=J11,I11=K11), AND(I11=H11,I11=J11,I11=K11,I11=L11), AND(I11=J11,I11=K11,I11=L11,I11=M11)) )</f>
        <v>0</v>
      </c>
      <c r="AE11" s="53" t="b">
        <f t="shared" ref="AE11:AE29" si="6">AND(J11&lt;&gt;"", OR( AND(J11=F7,J11=G8,J11=H9,J11=I10), AND(J11=G8,J11=H9,J11=I10,J11=K12), AND(J11=H9,J11=I10,J11=K12,J11=L13), AND(J11=I10,J11=K12,J11=L13,J11=M14), AND(J11=K12,J11=L13,J11=M14,J11=N15), AND(J11=F15,J11=G14,J11=H13,J11=I12), AND(J11=G14,J11=H13,J11=I12,J11=K10), AND(J11=H13,J11=I12,J11=K10,J11=L9), AND(J11=I12,J11=K10,J11=L9,J11=M8), AND(J11=K10,J11=L9,J11=M8,J11=N7), AND(J11=J7,J11=J8,J11=J9,J11=J10), AND(J11=J8,J11=J9,J11=J10,J11=J12), AND(J11=J9,J11=J10,J11=J12,J11=J13), AND(J11=J10,J11=J12,J11=J13,J11=J14), AND(J11=J12,J11=J13,J11=J14,J11=J15), AND(J11=F11,J11=G11,J11=H11,J11=I11), AND(J11=G11,J11=H11,J11=I11,J11=K11), AND(J11=H11,J11=I11,J11=K11,J11=L11), AND(J11=I11,J11=K11,J11=L11,J11=M11), AND(J11=K11,J11=L11,J11=M11,J11=N11)) )</f>
        <v>0</v>
      </c>
      <c r="AF11" s="53" t="b">
        <f t="shared" ref="AF11:AF29" si="7">AND(K11&lt;&gt;"", OR( AND(K11=G7,K11=H8,K11=I9,K11=J10), AND(K11=H8,K11=I9,K11=J10,K11=L12), AND(K11=I9,K11=J10,K11=L12,K11=M13), AND(K11=J10,K11=L12,K11=M13,K11=N14), AND(K11=L12,K11=M13,K11=N14,K11=O15), AND(K11=G15,K11=H14,K11=I13,K11=J12), AND(K11=H14,K11=I13,K11=J12,K11=L10), AND(K11=I13,K11=J12,K11=L10,K11=M9), AND(K11=J12,K11=L10,K11=M9,K11=N8), AND(K11=L10,K11=M9,K11=N8,K11=O7), AND(K11=K7,K11=K8,K11=K9,K11=K10), AND(K11=K8,K11=K9,K11=K10,K11=K12), AND(K11=K9,K11=K10,K11=K12,K11=K13), AND(K11=K10,K11=K12,K11=K13,K11=K14), AND(K11=K12,K11=K13,K11=K14,K11=K15), AND(K11=G11,K11=H11,K11=I11,K11=J11), AND(K11=H11,K11=I11,K11=J11,K11=L11), AND(K11=I11,K11=J11,K11=L11,K11=M11), AND(K11=J11,K11=L11,K11=M11,K11=N11), AND(K11=L11,K11=M11,K11=N11,K11=O11)) )</f>
        <v>0</v>
      </c>
      <c r="AG11" s="53" t="b">
        <f t="shared" ref="AG11:AG29" si="8">AND(L11&lt;&gt;"", OR( AND(L11=H7,L11=I8,L11=J9,L11=K10), AND(L11=I8,L11=J9,L11=K10,L11=M12), AND(L11=J9,L11=K10,L11=M12,L11=N13), AND(L11=K10,L11=M12,L11=N13,L11=O14), AND(L11=M12,L11=N13,L11=O14,L11=P15), AND(L11=H15,L11=I14,L11=J13,L11=K12), AND(L11=I14,L11=J13,L11=K12,L11=M10), AND(L11=J13,L11=K12,L11=M10,L11=N9), AND(L11=K12,L11=M10,L11=N9,L11=O8), AND(L11=M10,L11=N9,L11=O8,L11=P7), AND(L11=L7,L11=L8,L11=L9,L11=L10), AND(L11=L8,L11=L9,L11=L10,L11=L12), AND(L11=L9,L11=L10,L11=L12,L11=L13), AND(L11=L10,L11=L12,L11=L13,L11=L14), AND(L11=L12,L11=L13,L11=L14,L11=L15), AND(L11=H11,L11=I11,L11=J11,L11=K11), AND(L11=I11,L11=J11,L11=K11,L11=M11), AND(L11=J11,L11=K11,L11=M11,L11=N11), AND(L11=K11,L11=M11,L11=N11,L11=O11), AND(L11=M11,L11=N11,L11=O11,L11=P11)) )</f>
        <v>0</v>
      </c>
      <c r="AH11" s="53" t="b">
        <f t="shared" ref="AH11:AH29" si="9">AND(M11&lt;&gt;"", OR( AND(M11=I7,M11=J8,M11=K9,M11=L10), AND(M11=J8,M11=K9,M11=L10,M11=N12), AND(M11=K9,M11=L10,M11=N12,M11=O13), AND(M11=L10,M11=N12,M11=O13,M11=P14), AND(M11=N12,M11=O13,M11=P14,M11=Q15), AND(M11=I15,M11=J14,M11=K13,M11=L12), AND(M11=J14,M11=K13,M11=L12,M11=N10), AND(M11=K13,M11=L12,M11=N10,M11=O9), AND(M11=L12,M11=N10,M11=O9,M11=P8), AND(M11=N10,M11=O9,M11=P8,M11=Q7), AND(M11=M7,M11=M8,M11=M9,M11=M10), AND(M11=M8,M11=M9,M11=M10,M11=M12), AND(M11=M9,M11=M10,M11=M12,M11=M13), AND(M11=M10,M11=M12,M11=M13,M11=M14), AND(M11=M12,M11=M13,M11=M14,M11=M15), AND(M11=I11,M11=J11,M11=K11,M11=L11), AND(M11=J11,M11=K11,M11=L11,M11=N11), AND(M11=K11,M11=L11,M11=N11,M11=O11), AND(M11=L11,M11=N11,M11=O11,M11=P11), AND(M11=N11,M11=O11,M11=P11,M11=Q11)) )</f>
        <v>0</v>
      </c>
      <c r="AI11" s="53" t="b">
        <f t="shared" ref="AI11:AI29" si="10">AND(N11&lt;&gt;"", OR( AND(N11=J7,N11=K8,N11=L9,N11=M10), AND(N11=K8,N11=L9,N11=M10,N11=O12), AND(N11=L9,N11=M10,N11=O12,N11=P13), AND(N11=M10,N11=O12,N11=P13,N11=Q14), AND(N11=O12,N11=P13,N11=Q14,N11=R15), AND(N11=J15,N11=K14,N11=L13,N11=M12), AND(N11=K14,N11=L13,N11=M12,N11=O10), AND(N11=L13,N11=M12,N11=O10,N11=P9), AND(N11=M12,N11=O10,N11=P9,N11=Q8), AND(N11=O10,N11=P9,N11=Q8,N11=R7), AND(N11=N7,N11=N8,N11=N9,N11=N10), AND(N11=N8,N11=N9,N11=N10,N11=N12), AND(N11=N9,N11=N10,N11=N12,N11=N13), AND(N11=N10,N11=N12,N11=N13,N11=N14), AND(N11=N12,N11=N13,N11=N14,N11=N15), AND(N11=J11,N11=K11,N11=L11,N11=M11), AND(N11=K11,N11=L11,N11=M11,N11=O11), AND(N11=L11,N11=M11,N11=O11,N11=P11), AND(N11=M11,N11=O11,N11=P11,N11=Q11), AND(N11=O11,N11=P11,N11=Q11,N11=R11)) )</f>
        <v>0</v>
      </c>
      <c r="AJ11" s="53" t="b">
        <f t="shared" ref="AJ11:AJ29" si="11">AND(O11&lt;&gt;"", OR( AND(O11=K7,O11=L8,O11=M9,O11=N10), AND(O11=L8,O11=M9,O11=N10,O11=P12), AND(O11=M9,O11=N10,O11=P12,O11=Q13), AND(O11=N10,O11=P12,O11=Q13,O11=R14), AND(O11=P12,O11=Q13,O11=R14,O11=S15), AND(O11=K15,O11=L14,O11=M13,O11=N12), AND(O11=L14,O11=M13,O11=N12,O11=P10), AND(O11=M13,O11=N12,O11=P10,O11=Q9), AND(O11=N12,O11=P10,O11=Q9,O11=R8), AND(O11=P10,O11=Q9,O11=R8,O11=S7), AND(O11=O7,O11=O8,O11=O9,O11=O10), AND(O11=O8,O11=O9,O11=O10,O11=O12), AND(O11=O9,O11=O10,O11=O12,O11=O13), AND(O11=O10,O11=O12,O11=O13,O11=O14), AND(O11=O12,O11=O13,O11=O14,O11=O15), AND(O11=K11,O11=L11,O11=M11,O11=N11), AND(O11=L11,O11=M11,O11=N11,O11=P11), AND(O11=M11,O11=N11,O11=P11,O11=Q11), AND(O11=N11,O11=P11,O11=Q11,O11=R11), AND(O11=P11,O11=Q11,O11=R11,O11=S11)) )</f>
        <v>0</v>
      </c>
      <c r="AK11" s="53" t="b">
        <f t="shared" ref="AK11:AK29" si="12">AND(P11&lt;&gt;"", OR( AND(P11=L7,P11=M8,P11=N9,P11=O10), AND(P11=M8,P11=N9,P11=O10,P11=Q12), AND(P11=N9,P11=O10,P11=Q12,P11=R13), AND(P11=O10,P11=Q12,P11=R13,P11=S14), AND(P11=Q12,P11=R13,P11=S14,P11=T15), AND(P11=L15,P11=M14,P11=N13,P11=O12), AND(P11=M14,P11=N13,P11=O12,P11=Q10), AND(P11=N13,P11=O12,P11=Q10,P11=R9), AND(P11=O12,P11=Q10,P11=R9,P11=S8), AND(P11=Q10,P11=R9,P11=S8,P11=T7), AND(P11=P7,P11=P8,P11=P9,P11=P10), AND(P11=P8,P11=P9,P11=P10,P11=P12), AND(P11=P9,P11=P10,P11=P12,P11=P13), AND(P11=P10,P11=P12,P11=P13,P11=P14), AND(P11=P12,P11=P13,P11=P14,P11=P15), AND(P11=L11,P11=M11,P11=N11,P11=O11), AND(P11=M11,P11=N11,P11=O11,P11=Q11), AND(P11=N11,P11=O11,P11=Q11,P11=R11), AND(P11=O11,P11=Q11,P11=R11,P11=S11), AND(P11=Q11,P11=R11,P11=S11,P11=T11)) )</f>
        <v>0</v>
      </c>
      <c r="AL11" s="53" t="b">
        <f t="shared" ref="AL11:AL29" si="13">AND(Q11&lt;&gt;"", OR( AND(Q11=M7,Q11=N8,Q11=O9,Q11=P10), AND(Q11=N8,Q11=O9,Q11=P10,Q11=R12), AND(Q11=O9,Q11=P10,Q11=R12,Q11=S13), AND(Q11=P10,Q11=R12,Q11=S13,Q11=T14), AND(Q11=R12,Q11=S13,Q11=T14,Q11=U15), AND(Q11=M15,Q11=N14,Q11=O13,Q11=P12), AND(Q11=N14,Q11=O13,Q11=P12,Q11=R10), AND(Q11=O13,Q11=P12,Q11=R10,Q11=S9), AND(Q11=P12,Q11=R10,Q11=S9,Q11=T8), AND(Q11=R10,Q11=S9,Q11=T8,Q11=U7), AND(Q11=Q7,Q11=Q8,Q11=Q9,Q11=Q10), AND(Q11=Q8,Q11=Q9,Q11=Q10,Q11=Q12), AND(Q11=Q9,Q11=Q10,Q11=Q12,Q11=Q13), AND(Q11=Q10,Q11=Q12,Q11=Q13,Q11=Q14), AND(Q11=Q12,Q11=Q13,Q11=Q14,Q11=Q15), AND(Q11=M11,Q11=N11,Q11=O11,Q11=P11), AND(Q11=N11,Q11=O11,Q11=P11,Q11=R11), AND(Q11=O11,Q11=P11,Q11=R11,Q11=S11), AND(Q11=P11,Q11=R11,Q11=S11,Q11=T11), AND(Q11=R11,Q11=S11,Q11=T11,Q11=U11)) )</f>
        <v>0</v>
      </c>
      <c r="AM11" s="53" t="b">
        <f t="shared" ref="AM11:AM29" si="14">AND(R11&lt;&gt;"", OR( AND(R11=N7,R11=O8,R11=P9,R11=Q10), AND(R11=O8,R11=P9,R11=Q10,R11=S12), AND(R11=P9,R11=Q10,R11=S12,R11=T13), AND(R11=Q10,R11=S12,R11=T13,R11=U14), AND(R11=S12,R11=T13,R11=U14,R11=V15), AND(R11=N15,R11=O14,R11=P13,R11=Q12), AND(R11=O14,R11=P13,R11=Q12,R11=S10), AND(R11=P13,R11=Q12,R11=S10,R11=T9), AND(R11=Q12,R11=S10,R11=T9,R11=U8), AND(R11=S10,R11=T9,R11=U8,R11=V7), AND(R11=R7,R11=R8,R11=R9,R11=R10), AND(R11=R8,R11=R9,R11=R10,R11=R12), AND(R11=R9,R11=R10,R11=R12,R11=R13), AND(R11=R10,R11=R12,R11=R13,R11=R14), AND(R11=R12,R11=R13,R11=R14,R11=R15), AND(R11=N11,R11=O11,R11=P11,R11=Q11), AND(R11=O11,R11=P11,R11=Q11,R11=S11), AND(R11=P11,R11=Q11,R11=S11,R11=T11), AND(R11=Q11,R11=S11,R11=T11,R11=U11), AND(R11=S11,R11=T11,R11=U11,R11=V11)) )</f>
        <v>0</v>
      </c>
      <c r="AN11" s="53" t="b">
        <f t="shared" ref="AN11:AN29" si="15">AND(S11&lt;&gt;"", OR( AND(S11=O7,S11=P8,S11=Q9,S11=R10), AND(S11=P8,S11=Q9,S11=R10,S11=T12), AND(S11=Q9,S11=R10,S11=T12,S11=U13), AND(S11=R10,S11=T12,S11=U13,S11=V14), AND(S11=T12,S11=U13,S11=V14,S11=W15), AND(S11=O15,S11=P14,S11=Q13,S11=R12), AND(S11=P14,S11=Q13,S11=R12,S11=T10), AND(S11=Q13,S11=R12,S11=T10,S11=U9), AND(S11=R12,S11=T10,S11=U9,S11=V8), AND(S11=T10,S11=U9,S11=V8,S11=W7), AND(S11=S7,S11=S8,S11=S9,S11=S10), AND(S11=S8,S11=S9,S11=S10,S11=S12), AND(S11=S9,S11=S10,S11=S12,S11=S13), AND(S11=S10,S11=S12,S11=S13,S11=S14), AND(S11=S12,S11=S13,S11=S14,S11=S15), AND(S11=O11,S11=P11,S11=Q11,S11=R11), AND(S11=P11,S11=Q11,S11=R11,S11=T11), AND(S11=Q11,S11=R11,S11=T11,S11=U11), AND(S11=R11,S11=T11,S11=U11,S11=V11), AND(S11=T11,S11=U11,S11=V11,S11=W11)) )</f>
        <v>0</v>
      </c>
      <c r="AO11" s="53" t="b">
        <f t="shared" ref="AO11:AO29" si="16">AND(T11&lt;&gt;"", OR( AND(T11=P7,T11=Q8,T11=R9,T11=S10), AND(T11=Q8,T11=R9,T11=S10,T11=U12), AND(T11=R9,T11=S10,T11=U12,T11=V13), AND(T11=S10,T11=U12,T11=V13,T11=W14), AND(T11=U12,T11=V13,T11=W14,T11=X15), AND(T11=P15,T11=Q14,T11=R13,T11=S12), AND(T11=Q14,T11=R13,T11=S12,T11=U10), AND(T11=R13,T11=S12,T11=U10,T11=V9), AND(T11=S12,T11=U10,T11=V9,T11=W8), AND(T11=U10,T11=V9,T11=W8,T11=X7), AND(T11=T7,T11=T8,T11=T9,T11=T10), AND(T11=T8,T11=T9,T11=T10,T11=T12), AND(T11=T9,T11=T10,T11=T12,T11=T13), AND(T11=T10,T11=T12,T11=T13,T11=T14), AND(T11=T12,T11=T13,T11=T14,T11=T15), AND(T11=P11,T11=Q11,T11=R11,T11=S11), AND(T11=Q11,T11=R11,T11=S11,T11=U11), AND(T11=R11,T11=S11,T11=U11,T11=V11), AND(T11=S11,T11=U11,T11=V11,T11=W11), AND(T11=U11,T11=V11,T11=W11,T11=X11)) )</f>
        <v>0</v>
      </c>
      <c r="AP11" s="53" t="b">
        <f t="shared" ref="AP11:AP29" si="17">AND(U11&lt;&gt;"", OR( AND(U11=Q7,U11=R8,U11=S9,U11=T10), AND(U11=R8,U11=S9,U11=T10,U11=V12), AND(U11=S9,U11=T10,U11=V12,U11=W13), AND(U11=T10,U11=V12,U11=W13,U11=X14), AND(U11=V12,U11=W13,U11=X14,U11=Y15), AND(U11=Q15,U11=R14,U11=S13,U11=T12), AND(U11=R14,U11=S13,U11=T12,U11=V10), AND(U11=S13,U11=T12,U11=V10,U11=W9), AND(U11=T12,U11=V10,U11=W9,U11=X8), AND(U11=V10,U11=W9,U11=X8,U11=Y7), AND(U11=U7,U11=U8,U11=U9,U11=U10), AND(U11=U8,U11=U9,U11=U10,U11=U12), AND(U11=U9,U11=U10,U11=U12,U11=U13), AND(U11=U10,U11=U12,U11=U13,U11=U14), AND(U11=U12,U11=U13,U11=U14,U11=U15), AND(U11=Q11,U11=R11,U11=S11,U11=T11), AND(U11=R11,U11=S11,U11=T11,U11=V11), AND(U11=S11,U11=T11,U11=V11,U11=W11), AND(U11=T11,U11=V11,U11=W11,U11=X11), AND(U11=V11,U11=W11,U11=X11,U11=Y11)) )</f>
        <v>0</v>
      </c>
    </row>
    <row r="12" spans="3:42" ht="20" customHeight="1">
      <c r="E12" s="53"/>
      <c r="F12" s="53"/>
      <c r="G12" s="53"/>
      <c r="H12" s="53">
        <v>1</v>
      </c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Z12" s="53" t="b">
        <f t="shared" si="1"/>
        <v>0</v>
      </c>
      <c r="AA12" s="53" t="b">
        <f t="shared" si="2"/>
        <v>0</v>
      </c>
      <c r="AB12" s="53" t="b">
        <f t="shared" si="3"/>
        <v>0</v>
      </c>
      <c r="AC12" s="53" t="b">
        <f t="shared" si="4"/>
        <v>0</v>
      </c>
      <c r="AD12" s="53" t="b">
        <f t="shared" si="5"/>
        <v>0</v>
      </c>
      <c r="AE12" s="53" t="b">
        <f t="shared" si="6"/>
        <v>0</v>
      </c>
      <c r="AF12" s="53" t="b">
        <f t="shared" si="7"/>
        <v>0</v>
      </c>
      <c r="AG12" s="53" t="b">
        <f t="shared" si="8"/>
        <v>0</v>
      </c>
      <c r="AH12" s="53" t="b">
        <f t="shared" si="9"/>
        <v>0</v>
      </c>
      <c r="AI12" s="53" t="b">
        <f t="shared" si="10"/>
        <v>0</v>
      </c>
      <c r="AJ12" s="53" t="b">
        <f t="shared" si="11"/>
        <v>0</v>
      </c>
      <c r="AK12" s="53" t="b">
        <f t="shared" si="12"/>
        <v>0</v>
      </c>
      <c r="AL12" s="53" t="b">
        <f t="shared" si="13"/>
        <v>0</v>
      </c>
      <c r="AM12" s="53" t="b">
        <f t="shared" si="14"/>
        <v>0</v>
      </c>
      <c r="AN12" s="53" t="b">
        <f t="shared" si="15"/>
        <v>0</v>
      </c>
      <c r="AO12" s="53" t="b">
        <f t="shared" si="16"/>
        <v>0</v>
      </c>
      <c r="AP12" s="53" t="b">
        <f t="shared" si="17"/>
        <v>0</v>
      </c>
    </row>
    <row r="13" spans="3:42" ht="20" customHeight="1"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Z13" s="53" t="b">
        <f t="shared" si="1"/>
        <v>0</v>
      </c>
      <c r="AA13" s="53" t="b">
        <f t="shared" si="2"/>
        <v>0</v>
      </c>
      <c r="AB13" s="53" t="b">
        <f t="shared" si="3"/>
        <v>0</v>
      </c>
      <c r="AC13" s="53" t="b">
        <f t="shared" si="4"/>
        <v>0</v>
      </c>
      <c r="AD13" s="53" t="b">
        <f t="shared" si="5"/>
        <v>0</v>
      </c>
      <c r="AE13" s="53" t="b">
        <f t="shared" si="6"/>
        <v>0</v>
      </c>
      <c r="AF13" s="53" t="b">
        <f t="shared" si="7"/>
        <v>0</v>
      </c>
      <c r="AG13" s="53" t="b">
        <f t="shared" si="8"/>
        <v>0</v>
      </c>
      <c r="AH13" s="53" t="b">
        <f t="shared" si="9"/>
        <v>0</v>
      </c>
      <c r="AI13" s="53" t="b">
        <f t="shared" si="10"/>
        <v>0</v>
      </c>
      <c r="AJ13" s="53" t="b">
        <f t="shared" si="11"/>
        <v>0</v>
      </c>
      <c r="AK13" s="53" t="b">
        <f t="shared" si="12"/>
        <v>0</v>
      </c>
      <c r="AL13" s="53" t="b">
        <f t="shared" si="13"/>
        <v>0</v>
      </c>
      <c r="AM13" s="53" t="b">
        <f t="shared" si="14"/>
        <v>0</v>
      </c>
      <c r="AN13" s="53" t="b">
        <f t="shared" si="15"/>
        <v>0</v>
      </c>
      <c r="AO13" s="53" t="b">
        <f t="shared" si="16"/>
        <v>0</v>
      </c>
      <c r="AP13" s="53" t="b">
        <f t="shared" si="17"/>
        <v>0</v>
      </c>
    </row>
    <row r="14" spans="3:42" ht="20" customHeight="1"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Z14" s="53" t="b">
        <f t="shared" si="1"/>
        <v>0</v>
      </c>
      <c r="AA14" s="53" t="b">
        <f t="shared" si="2"/>
        <v>0</v>
      </c>
      <c r="AB14" s="53" t="b">
        <f t="shared" si="3"/>
        <v>0</v>
      </c>
      <c r="AC14" s="53" t="b">
        <f t="shared" si="4"/>
        <v>0</v>
      </c>
      <c r="AD14" s="53" t="b">
        <f t="shared" si="5"/>
        <v>0</v>
      </c>
      <c r="AE14" s="53" t="b">
        <f t="shared" si="6"/>
        <v>0</v>
      </c>
      <c r="AF14" s="53" t="b">
        <f t="shared" si="7"/>
        <v>0</v>
      </c>
      <c r="AG14" s="53" t="b">
        <f t="shared" si="8"/>
        <v>0</v>
      </c>
      <c r="AH14" s="53" t="b">
        <f t="shared" si="9"/>
        <v>0</v>
      </c>
      <c r="AI14" s="53" t="b">
        <f t="shared" si="10"/>
        <v>0</v>
      </c>
      <c r="AJ14" s="53" t="b">
        <f t="shared" si="11"/>
        <v>0</v>
      </c>
      <c r="AK14" s="53" t="b">
        <f t="shared" si="12"/>
        <v>0</v>
      </c>
      <c r="AL14" s="53" t="b">
        <f t="shared" si="13"/>
        <v>0</v>
      </c>
      <c r="AM14" s="53" t="b">
        <f t="shared" si="14"/>
        <v>0</v>
      </c>
      <c r="AN14" s="53" t="b">
        <f t="shared" si="15"/>
        <v>0</v>
      </c>
      <c r="AO14" s="53" t="b">
        <f t="shared" si="16"/>
        <v>0</v>
      </c>
      <c r="AP14" s="53" t="b">
        <f t="shared" si="17"/>
        <v>0</v>
      </c>
    </row>
    <row r="15" spans="3:42" ht="20" customHeight="1"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Z15" s="53" t="b">
        <f t="shared" si="1"/>
        <v>0</v>
      </c>
      <c r="AA15" s="53" t="b">
        <f t="shared" si="2"/>
        <v>0</v>
      </c>
      <c r="AB15" s="53" t="b">
        <f t="shared" si="3"/>
        <v>0</v>
      </c>
      <c r="AC15" s="53" t="b">
        <f t="shared" si="4"/>
        <v>0</v>
      </c>
      <c r="AD15" s="53" t="b">
        <f t="shared" si="5"/>
        <v>0</v>
      </c>
      <c r="AE15" s="53" t="b">
        <f t="shared" si="6"/>
        <v>0</v>
      </c>
      <c r="AF15" s="53" t="b">
        <f t="shared" si="7"/>
        <v>0</v>
      </c>
      <c r="AG15" s="53" t="b">
        <f t="shared" si="8"/>
        <v>0</v>
      </c>
      <c r="AH15" s="53" t="b">
        <f t="shared" si="9"/>
        <v>0</v>
      </c>
      <c r="AI15" s="53" t="b">
        <f t="shared" si="10"/>
        <v>0</v>
      </c>
      <c r="AJ15" s="53" t="b">
        <f t="shared" si="11"/>
        <v>0</v>
      </c>
      <c r="AK15" s="53" t="b">
        <f t="shared" si="12"/>
        <v>0</v>
      </c>
      <c r="AL15" s="53" t="b">
        <f t="shared" si="13"/>
        <v>0</v>
      </c>
      <c r="AM15" s="53" t="b">
        <f t="shared" si="14"/>
        <v>0</v>
      </c>
      <c r="AN15" s="53" t="b">
        <f t="shared" si="15"/>
        <v>0</v>
      </c>
      <c r="AO15" s="53" t="b">
        <f t="shared" si="16"/>
        <v>0</v>
      </c>
      <c r="AP15" s="53" t="b">
        <f t="shared" si="17"/>
        <v>0</v>
      </c>
    </row>
    <row r="16" spans="3:42" ht="20" customHeight="1"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Z16" s="53" t="b">
        <f t="shared" si="1"/>
        <v>0</v>
      </c>
      <c r="AA16" s="53" t="b">
        <f t="shared" si="2"/>
        <v>0</v>
      </c>
      <c r="AB16" s="53" t="b">
        <f t="shared" si="3"/>
        <v>0</v>
      </c>
      <c r="AC16" s="53" t="b">
        <f t="shared" si="4"/>
        <v>0</v>
      </c>
      <c r="AD16" s="53" t="b">
        <f t="shared" si="5"/>
        <v>0</v>
      </c>
      <c r="AE16" s="53" t="b">
        <f t="shared" si="6"/>
        <v>0</v>
      </c>
      <c r="AF16" s="53" t="b">
        <f t="shared" si="7"/>
        <v>0</v>
      </c>
      <c r="AG16" s="53" t="b">
        <f t="shared" si="8"/>
        <v>0</v>
      </c>
      <c r="AH16" s="53" t="b">
        <f t="shared" si="9"/>
        <v>0</v>
      </c>
      <c r="AI16" s="53" t="b">
        <f t="shared" si="10"/>
        <v>0</v>
      </c>
      <c r="AJ16" s="53" t="b">
        <f t="shared" si="11"/>
        <v>0</v>
      </c>
      <c r="AK16" s="53" t="b">
        <f t="shared" si="12"/>
        <v>0</v>
      </c>
      <c r="AL16" s="53" t="b">
        <f t="shared" si="13"/>
        <v>0</v>
      </c>
      <c r="AM16" s="53" t="b">
        <f t="shared" si="14"/>
        <v>0</v>
      </c>
      <c r="AN16" s="53" t="b">
        <f t="shared" si="15"/>
        <v>0</v>
      </c>
      <c r="AO16" s="53" t="b">
        <f t="shared" si="16"/>
        <v>0</v>
      </c>
      <c r="AP16" s="53" t="b">
        <f t="shared" si="17"/>
        <v>0</v>
      </c>
    </row>
    <row r="17" spans="5:42" ht="20" customHeight="1"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Z17" s="53" t="b">
        <f t="shared" si="1"/>
        <v>0</v>
      </c>
      <c r="AA17" s="53" t="b">
        <f t="shared" si="2"/>
        <v>0</v>
      </c>
      <c r="AB17" s="53" t="b">
        <f t="shared" si="3"/>
        <v>0</v>
      </c>
      <c r="AC17" s="53" t="b">
        <f t="shared" si="4"/>
        <v>0</v>
      </c>
      <c r="AD17" s="53" t="b">
        <f t="shared" si="5"/>
        <v>0</v>
      </c>
      <c r="AE17" s="53" t="b">
        <f t="shared" si="6"/>
        <v>0</v>
      </c>
      <c r="AF17" s="53" t="b">
        <f t="shared" si="7"/>
        <v>0</v>
      </c>
      <c r="AG17" s="53" t="b">
        <f t="shared" si="8"/>
        <v>0</v>
      </c>
      <c r="AH17" s="53" t="b">
        <f t="shared" si="9"/>
        <v>0</v>
      </c>
      <c r="AI17" s="53" t="b">
        <f t="shared" si="10"/>
        <v>0</v>
      </c>
      <c r="AJ17" s="53" t="b">
        <f t="shared" si="11"/>
        <v>0</v>
      </c>
      <c r="AK17" s="53" t="b">
        <f t="shared" si="12"/>
        <v>0</v>
      </c>
      <c r="AL17" s="53" t="b">
        <f t="shared" si="13"/>
        <v>0</v>
      </c>
      <c r="AM17" s="53" t="b">
        <f t="shared" si="14"/>
        <v>0</v>
      </c>
      <c r="AN17" s="53" t="b">
        <f t="shared" si="15"/>
        <v>0</v>
      </c>
      <c r="AO17" s="53" t="b">
        <f t="shared" si="16"/>
        <v>0</v>
      </c>
      <c r="AP17" s="53" t="b">
        <f t="shared" si="17"/>
        <v>0</v>
      </c>
    </row>
    <row r="18" spans="5:42" ht="20" customHeight="1"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Z18" s="53" t="b">
        <f t="shared" si="1"/>
        <v>0</v>
      </c>
      <c r="AA18" s="53" t="b">
        <f t="shared" si="2"/>
        <v>0</v>
      </c>
      <c r="AB18" s="53" t="b">
        <f t="shared" si="3"/>
        <v>0</v>
      </c>
      <c r="AC18" s="53" t="b">
        <f t="shared" si="4"/>
        <v>0</v>
      </c>
      <c r="AD18" s="53" t="b">
        <f t="shared" si="5"/>
        <v>0</v>
      </c>
      <c r="AE18" s="53" t="b">
        <f t="shared" si="6"/>
        <v>0</v>
      </c>
      <c r="AF18" s="53" t="b">
        <f t="shared" si="7"/>
        <v>0</v>
      </c>
      <c r="AG18" s="53" t="b">
        <f t="shared" si="8"/>
        <v>0</v>
      </c>
      <c r="AH18" s="53" t="b">
        <f t="shared" si="9"/>
        <v>0</v>
      </c>
      <c r="AI18" s="53" t="b">
        <f t="shared" si="10"/>
        <v>0</v>
      </c>
      <c r="AJ18" s="53" t="b">
        <f t="shared" si="11"/>
        <v>0</v>
      </c>
      <c r="AK18" s="53" t="b">
        <f t="shared" si="12"/>
        <v>0</v>
      </c>
      <c r="AL18" s="53" t="b">
        <f t="shared" si="13"/>
        <v>0</v>
      </c>
      <c r="AM18" s="53" t="b">
        <f t="shared" si="14"/>
        <v>0</v>
      </c>
      <c r="AN18" s="53" t="b">
        <f t="shared" si="15"/>
        <v>0</v>
      </c>
      <c r="AO18" s="53" t="b">
        <f t="shared" si="16"/>
        <v>0</v>
      </c>
      <c r="AP18" s="53" t="b">
        <f t="shared" si="17"/>
        <v>0</v>
      </c>
    </row>
    <row r="19" spans="5:42" ht="20" customHeight="1"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Z19" s="53" t="b">
        <f t="shared" si="1"/>
        <v>0</v>
      </c>
      <c r="AA19" s="53" t="b">
        <f t="shared" si="2"/>
        <v>0</v>
      </c>
      <c r="AB19" s="53" t="b">
        <f t="shared" si="3"/>
        <v>0</v>
      </c>
      <c r="AC19" s="53" t="b">
        <f t="shared" si="4"/>
        <v>0</v>
      </c>
      <c r="AD19" s="53" t="b">
        <f t="shared" si="5"/>
        <v>0</v>
      </c>
      <c r="AE19" s="53" t="b">
        <f t="shared" si="6"/>
        <v>0</v>
      </c>
      <c r="AF19" s="53" t="b">
        <f t="shared" si="7"/>
        <v>0</v>
      </c>
      <c r="AG19" s="53" t="b">
        <f t="shared" si="8"/>
        <v>0</v>
      </c>
      <c r="AH19" s="53" t="b">
        <f t="shared" si="9"/>
        <v>0</v>
      </c>
      <c r="AI19" s="53" t="b">
        <f t="shared" si="10"/>
        <v>0</v>
      </c>
      <c r="AJ19" s="53" t="b">
        <f t="shared" si="11"/>
        <v>0</v>
      </c>
      <c r="AK19" s="53" t="b">
        <f t="shared" si="12"/>
        <v>0</v>
      </c>
      <c r="AL19" s="53" t="b">
        <f t="shared" si="13"/>
        <v>0</v>
      </c>
      <c r="AM19" s="53" t="b">
        <f t="shared" si="14"/>
        <v>0</v>
      </c>
      <c r="AN19" s="53" t="b">
        <f t="shared" si="15"/>
        <v>0</v>
      </c>
      <c r="AO19" s="53" t="b">
        <f t="shared" si="16"/>
        <v>0</v>
      </c>
      <c r="AP19" s="53" t="b">
        <f t="shared" si="17"/>
        <v>0</v>
      </c>
    </row>
    <row r="20" spans="5:42" ht="20" customHeight="1"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Z20" s="53" t="b">
        <f t="shared" si="1"/>
        <v>0</v>
      </c>
      <c r="AA20" s="53" t="b">
        <f t="shared" si="2"/>
        <v>0</v>
      </c>
      <c r="AB20" s="53" t="b">
        <f t="shared" si="3"/>
        <v>0</v>
      </c>
      <c r="AC20" s="53" t="b">
        <f t="shared" si="4"/>
        <v>0</v>
      </c>
      <c r="AD20" s="53" t="b">
        <f t="shared" si="5"/>
        <v>0</v>
      </c>
      <c r="AE20" s="53" t="b">
        <f t="shared" si="6"/>
        <v>0</v>
      </c>
      <c r="AF20" s="53" t="b">
        <f t="shared" si="7"/>
        <v>0</v>
      </c>
      <c r="AG20" s="53" t="b">
        <f t="shared" si="8"/>
        <v>0</v>
      </c>
      <c r="AH20" s="53" t="b">
        <f t="shared" si="9"/>
        <v>0</v>
      </c>
      <c r="AI20" s="53" t="b">
        <f t="shared" si="10"/>
        <v>0</v>
      </c>
      <c r="AJ20" s="53" t="b">
        <f t="shared" si="11"/>
        <v>0</v>
      </c>
      <c r="AK20" s="53" t="b">
        <f t="shared" si="12"/>
        <v>0</v>
      </c>
      <c r="AL20" s="53" t="b">
        <f t="shared" si="13"/>
        <v>0</v>
      </c>
      <c r="AM20" s="53" t="b">
        <f t="shared" si="14"/>
        <v>0</v>
      </c>
      <c r="AN20" s="53" t="b">
        <f t="shared" si="15"/>
        <v>0</v>
      </c>
      <c r="AO20" s="53" t="b">
        <f t="shared" si="16"/>
        <v>0</v>
      </c>
      <c r="AP20" s="53" t="b">
        <f t="shared" si="17"/>
        <v>0</v>
      </c>
    </row>
    <row r="21" spans="5:42" ht="20" customHeight="1"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Z21" s="53" t="b">
        <f t="shared" si="1"/>
        <v>0</v>
      </c>
      <c r="AA21" s="53" t="b">
        <f t="shared" si="2"/>
        <v>0</v>
      </c>
      <c r="AB21" s="53" t="b">
        <f t="shared" si="3"/>
        <v>0</v>
      </c>
      <c r="AC21" s="53" t="b">
        <f t="shared" si="4"/>
        <v>0</v>
      </c>
      <c r="AD21" s="53" t="b">
        <f t="shared" si="5"/>
        <v>0</v>
      </c>
      <c r="AE21" s="53" t="b">
        <f t="shared" si="6"/>
        <v>0</v>
      </c>
      <c r="AF21" s="53" t="b">
        <f t="shared" si="7"/>
        <v>0</v>
      </c>
      <c r="AG21" s="53" t="b">
        <f t="shared" si="8"/>
        <v>0</v>
      </c>
      <c r="AH21" s="53" t="b">
        <f t="shared" si="9"/>
        <v>0</v>
      </c>
      <c r="AI21" s="53" t="b">
        <f t="shared" si="10"/>
        <v>0</v>
      </c>
      <c r="AJ21" s="53" t="b">
        <f t="shared" si="11"/>
        <v>0</v>
      </c>
      <c r="AK21" s="53" t="b">
        <f t="shared" si="12"/>
        <v>0</v>
      </c>
      <c r="AL21" s="53" t="b">
        <f t="shared" si="13"/>
        <v>0</v>
      </c>
      <c r="AM21" s="53" t="b">
        <f t="shared" si="14"/>
        <v>0</v>
      </c>
      <c r="AN21" s="53" t="b">
        <f t="shared" si="15"/>
        <v>0</v>
      </c>
      <c r="AO21" s="53" t="b">
        <f t="shared" si="16"/>
        <v>0</v>
      </c>
      <c r="AP21" s="53" t="b">
        <f t="shared" si="17"/>
        <v>0</v>
      </c>
    </row>
    <row r="22" spans="5:42" ht="20" customHeight="1"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Z22" s="53" t="b">
        <f t="shared" si="1"/>
        <v>0</v>
      </c>
      <c r="AA22" s="53" t="b">
        <f t="shared" si="2"/>
        <v>0</v>
      </c>
      <c r="AB22" s="53" t="b">
        <f t="shared" si="3"/>
        <v>0</v>
      </c>
      <c r="AC22" s="53" t="b">
        <f t="shared" si="4"/>
        <v>0</v>
      </c>
      <c r="AD22" s="53" t="b">
        <f t="shared" si="5"/>
        <v>0</v>
      </c>
      <c r="AE22" s="53" t="b">
        <f t="shared" si="6"/>
        <v>0</v>
      </c>
      <c r="AF22" s="53" t="b">
        <f t="shared" si="7"/>
        <v>0</v>
      </c>
      <c r="AG22" s="53" t="b">
        <f t="shared" si="8"/>
        <v>0</v>
      </c>
      <c r="AH22" s="53" t="b">
        <f t="shared" si="9"/>
        <v>0</v>
      </c>
      <c r="AI22" s="53" t="b">
        <f t="shared" si="10"/>
        <v>0</v>
      </c>
      <c r="AJ22" s="53" t="b">
        <f t="shared" si="11"/>
        <v>0</v>
      </c>
      <c r="AK22" s="53" t="b">
        <f t="shared" si="12"/>
        <v>0</v>
      </c>
      <c r="AL22" s="53" t="b">
        <f t="shared" si="13"/>
        <v>0</v>
      </c>
      <c r="AM22" s="53" t="b">
        <f t="shared" si="14"/>
        <v>0</v>
      </c>
      <c r="AN22" s="53" t="b">
        <f t="shared" si="15"/>
        <v>0</v>
      </c>
      <c r="AO22" s="53" t="b">
        <f t="shared" si="16"/>
        <v>0</v>
      </c>
      <c r="AP22" s="53" t="b">
        <f t="shared" si="17"/>
        <v>0</v>
      </c>
    </row>
    <row r="23" spans="5:42" ht="20" customHeight="1"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Z23" s="53" t="b">
        <f t="shared" si="1"/>
        <v>0</v>
      </c>
      <c r="AA23" s="53" t="b">
        <f t="shared" si="2"/>
        <v>0</v>
      </c>
      <c r="AB23" s="53" t="b">
        <f t="shared" si="3"/>
        <v>0</v>
      </c>
      <c r="AC23" s="53" t="b">
        <f t="shared" si="4"/>
        <v>0</v>
      </c>
      <c r="AD23" s="53" t="b">
        <f t="shared" si="5"/>
        <v>0</v>
      </c>
      <c r="AE23" s="53" t="b">
        <f t="shared" si="6"/>
        <v>0</v>
      </c>
      <c r="AF23" s="53" t="b">
        <f t="shared" si="7"/>
        <v>0</v>
      </c>
      <c r="AG23" s="53" t="b">
        <f t="shared" si="8"/>
        <v>0</v>
      </c>
      <c r="AH23" s="53" t="b">
        <f t="shared" si="9"/>
        <v>0</v>
      </c>
      <c r="AI23" s="53" t="b">
        <f t="shared" si="10"/>
        <v>0</v>
      </c>
      <c r="AJ23" s="53" t="b">
        <f t="shared" si="11"/>
        <v>0</v>
      </c>
      <c r="AK23" s="53" t="b">
        <f t="shared" si="12"/>
        <v>0</v>
      </c>
      <c r="AL23" s="53" t="b">
        <f t="shared" si="13"/>
        <v>0</v>
      </c>
      <c r="AM23" s="53" t="b">
        <f t="shared" si="14"/>
        <v>0</v>
      </c>
      <c r="AN23" s="53" t="b">
        <f t="shared" si="15"/>
        <v>0</v>
      </c>
      <c r="AO23" s="53" t="b">
        <f t="shared" si="16"/>
        <v>0</v>
      </c>
      <c r="AP23" s="53" t="b">
        <f t="shared" si="17"/>
        <v>0</v>
      </c>
    </row>
    <row r="24" spans="5:42" ht="20" customHeight="1"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Z24" s="53" t="b">
        <f t="shared" si="1"/>
        <v>0</v>
      </c>
      <c r="AA24" s="53" t="b">
        <f t="shared" si="2"/>
        <v>0</v>
      </c>
      <c r="AB24" s="53" t="b">
        <f t="shared" si="3"/>
        <v>0</v>
      </c>
      <c r="AC24" s="53" t="b">
        <f t="shared" si="4"/>
        <v>0</v>
      </c>
      <c r="AD24" s="53" t="b">
        <f t="shared" si="5"/>
        <v>0</v>
      </c>
      <c r="AE24" s="53" t="b">
        <f t="shared" si="6"/>
        <v>0</v>
      </c>
      <c r="AF24" s="53" t="b">
        <f t="shared" si="7"/>
        <v>0</v>
      </c>
      <c r="AG24" s="53" t="b">
        <f t="shared" si="8"/>
        <v>0</v>
      </c>
      <c r="AH24" s="53" t="b">
        <f t="shared" si="9"/>
        <v>0</v>
      </c>
      <c r="AI24" s="53" t="b">
        <f t="shared" si="10"/>
        <v>0</v>
      </c>
      <c r="AJ24" s="53" t="b">
        <f t="shared" si="11"/>
        <v>0</v>
      </c>
      <c r="AK24" s="53" t="b">
        <f t="shared" si="12"/>
        <v>0</v>
      </c>
      <c r="AL24" s="53" t="b">
        <f t="shared" si="13"/>
        <v>0</v>
      </c>
      <c r="AM24" s="53" t="b">
        <f t="shared" si="14"/>
        <v>0</v>
      </c>
      <c r="AN24" s="53" t="b">
        <f t="shared" si="15"/>
        <v>0</v>
      </c>
      <c r="AO24" s="53" t="b">
        <f t="shared" si="16"/>
        <v>0</v>
      </c>
      <c r="AP24" s="53" t="b">
        <f t="shared" si="17"/>
        <v>0</v>
      </c>
    </row>
    <row r="25" spans="5:42" ht="20" customHeight="1"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Z25" s="53" t="b">
        <f t="shared" si="1"/>
        <v>0</v>
      </c>
      <c r="AA25" s="53" t="b">
        <f t="shared" si="2"/>
        <v>0</v>
      </c>
      <c r="AB25" s="53" t="b">
        <f t="shared" si="3"/>
        <v>0</v>
      </c>
      <c r="AC25" s="53" t="b">
        <f t="shared" si="4"/>
        <v>0</v>
      </c>
      <c r="AD25" s="53" t="b">
        <f t="shared" si="5"/>
        <v>0</v>
      </c>
      <c r="AE25" s="53" t="b">
        <f t="shared" si="6"/>
        <v>0</v>
      </c>
      <c r="AF25" s="53" t="b">
        <f t="shared" si="7"/>
        <v>0</v>
      </c>
      <c r="AG25" s="53" t="b">
        <f t="shared" si="8"/>
        <v>0</v>
      </c>
      <c r="AH25" s="53" t="b">
        <f t="shared" si="9"/>
        <v>0</v>
      </c>
      <c r="AI25" s="53" t="b">
        <f t="shared" si="10"/>
        <v>0</v>
      </c>
      <c r="AJ25" s="53" t="b">
        <f t="shared" si="11"/>
        <v>0</v>
      </c>
      <c r="AK25" s="53" t="b">
        <f t="shared" si="12"/>
        <v>0</v>
      </c>
      <c r="AL25" s="53" t="b">
        <f t="shared" si="13"/>
        <v>0</v>
      </c>
      <c r="AM25" s="53" t="b">
        <f t="shared" si="14"/>
        <v>0</v>
      </c>
      <c r="AN25" s="53" t="b">
        <f t="shared" si="15"/>
        <v>0</v>
      </c>
      <c r="AO25" s="53" t="b">
        <f t="shared" si="16"/>
        <v>0</v>
      </c>
      <c r="AP25" s="53" t="b">
        <f t="shared" si="17"/>
        <v>0</v>
      </c>
    </row>
    <row r="26" spans="5:42" ht="20" customHeight="1"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Z26" s="53" t="b">
        <f t="shared" si="1"/>
        <v>0</v>
      </c>
      <c r="AA26" s="53" t="b">
        <f t="shared" si="2"/>
        <v>0</v>
      </c>
      <c r="AB26" s="53" t="b">
        <f t="shared" si="3"/>
        <v>0</v>
      </c>
      <c r="AC26" s="53" t="b">
        <f t="shared" si="4"/>
        <v>0</v>
      </c>
      <c r="AD26" s="53" t="b">
        <f t="shared" si="5"/>
        <v>0</v>
      </c>
      <c r="AE26" s="53" t="b">
        <f t="shared" si="6"/>
        <v>0</v>
      </c>
      <c r="AF26" s="53" t="b">
        <f t="shared" si="7"/>
        <v>0</v>
      </c>
      <c r="AG26" s="53" t="b">
        <f t="shared" si="8"/>
        <v>0</v>
      </c>
      <c r="AH26" s="53" t="b">
        <f t="shared" si="9"/>
        <v>0</v>
      </c>
      <c r="AI26" s="53" t="b">
        <f t="shared" si="10"/>
        <v>0</v>
      </c>
      <c r="AJ26" s="53" t="b">
        <f t="shared" si="11"/>
        <v>0</v>
      </c>
      <c r="AK26" s="53" t="b">
        <f t="shared" si="12"/>
        <v>0</v>
      </c>
      <c r="AL26" s="53" t="b">
        <f t="shared" si="13"/>
        <v>0</v>
      </c>
      <c r="AM26" s="53" t="b">
        <f t="shared" si="14"/>
        <v>0</v>
      </c>
      <c r="AN26" s="53" t="b">
        <f t="shared" si="15"/>
        <v>0</v>
      </c>
      <c r="AO26" s="53" t="b">
        <f t="shared" si="16"/>
        <v>0</v>
      </c>
      <c r="AP26" s="53" t="b">
        <f t="shared" si="17"/>
        <v>0</v>
      </c>
    </row>
    <row r="27" spans="5:42" ht="20" customHeight="1"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Z27" s="53" t="b">
        <f t="shared" si="1"/>
        <v>0</v>
      </c>
      <c r="AA27" s="53" t="b">
        <f t="shared" si="2"/>
        <v>0</v>
      </c>
      <c r="AB27" s="53" t="b">
        <f t="shared" si="3"/>
        <v>0</v>
      </c>
      <c r="AC27" s="53" t="b">
        <f t="shared" si="4"/>
        <v>0</v>
      </c>
      <c r="AD27" s="53" t="b">
        <f t="shared" si="5"/>
        <v>0</v>
      </c>
      <c r="AE27" s="53" t="b">
        <f t="shared" si="6"/>
        <v>0</v>
      </c>
      <c r="AF27" s="53" t="b">
        <f t="shared" si="7"/>
        <v>0</v>
      </c>
      <c r="AG27" s="53" t="b">
        <f t="shared" si="8"/>
        <v>0</v>
      </c>
      <c r="AH27" s="53" t="b">
        <f t="shared" si="9"/>
        <v>0</v>
      </c>
      <c r="AI27" s="53" t="b">
        <f t="shared" si="10"/>
        <v>0</v>
      </c>
      <c r="AJ27" s="53" t="b">
        <f t="shared" si="11"/>
        <v>0</v>
      </c>
      <c r="AK27" s="53" t="b">
        <f t="shared" si="12"/>
        <v>0</v>
      </c>
      <c r="AL27" s="53" t="b">
        <f t="shared" si="13"/>
        <v>0</v>
      </c>
      <c r="AM27" s="53" t="b">
        <f t="shared" si="14"/>
        <v>0</v>
      </c>
      <c r="AN27" s="53" t="b">
        <f t="shared" si="15"/>
        <v>0</v>
      </c>
      <c r="AO27" s="53" t="b">
        <f t="shared" si="16"/>
        <v>0</v>
      </c>
      <c r="AP27" s="53" t="b">
        <f t="shared" si="17"/>
        <v>0</v>
      </c>
    </row>
    <row r="28" spans="5:42" ht="20" customHeight="1"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Z28" s="53" t="b">
        <f t="shared" si="1"/>
        <v>0</v>
      </c>
      <c r="AA28" s="53" t="b">
        <f t="shared" si="2"/>
        <v>0</v>
      </c>
      <c r="AB28" s="53" t="b">
        <f t="shared" si="3"/>
        <v>0</v>
      </c>
      <c r="AC28" s="53" t="b">
        <f t="shared" si="4"/>
        <v>0</v>
      </c>
      <c r="AD28" s="53" t="b">
        <f t="shared" si="5"/>
        <v>0</v>
      </c>
      <c r="AE28" s="53" t="b">
        <f t="shared" si="6"/>
        <v>0</v>
      </c>
      <c r="AF28" s="53" t="b">
        <f t="shared" si="7"/>
        <v>0</v>
      </c>
      <c r="AG28" s="53" t="b">
        <f t="shared" si="8"/>
        <v>0</v>
      </c>
      <c r="AH28" s="53" t="b">
        <f t="shared" si="9"/>
        <v>0</v>
      </c>
      <c r="AI28" s="53" t="b">
        <f t="shared" si="10"/>
        <v>0</v>
      </c>
      <c r="AJ28" s="53" t="b">
        <f t="shared" si="11"/>
        <v>0</v>
      </c>
      <c r="AK28" s="53" t="b">
        <f t="shared" si="12"/>
        <v>0</v>
      </c>
      <c r="AL28" s="53" t="b">
        <f t="shared" si="13"/>
        <v>0</v>
      </c>
      <c r="AM28" s="53" t="b">
        <f t="shared" si="14"/>
        <v>0</v>
      </c>
      <c r="AN28" s="53" t="b">
        <f t="shared" si="15"/>
        <v>0</v>
      </c>
      <c r="AO28" s="53" t="b">
        <f t="shared" si="16"/>
        <v>0</v>
      </c>
      <c r="AP28" s="53" t="b">
        <f t="shared" si="17"/>
        <v>0</v>
      </c>
    </row>
    <row r="29" spans="5:42" ht="20" customHeight="1"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Z29" s="53" t="b">
        <f t="shared" si="1"/>
        <v>0</v>
      </c>
      <c r="AA29" s="53" t="b">
        <f t="shared" si="2"/>
        <v>0</v>
      </c>
      <c r="AB29" s="53" t="b">
        <f t="shared" si="3"/>
        <v>0</v>
      </c>
      <c r="AC29" s="53" t="b">
        <f t="shared" si="4"/>
        <v>0</v>
      </c>
      <c r="AD29" s="53" t="b">
        <f t="shared" si="5"/>
        <v>0</v>
      </c>
      <c r="AE29" s="53" t="b">
        <f t="shared" si="6"/>
        <v>0</v>
      </c>
      <c r="AF29" s="53" t="b">
        <f t="shared" si="7"/>
        <v>0</v>
      </c>
      <c r="AG29" s="53" t="b">
        <f t="shared" si="8"/>
        <v>0</v>
      </c>
      <c r="AH29" s="53" t="b">
        <f t="shared" si="9"/>
        <v>0</v>
      </c>
      <c r="AI29" s="53" t="b">
        <f t="shared" si="10"/>
        <v>0</v>
      </c>
      <c r="AJ29" s="53" t="b">
        <f t="shared" si="11"/>
        <v>0</v>
      </c>
      <c r="AK29" s="53" t="b">
        <f t="shared" si="12"/>
        <v>0</v>
      </c>
      <c r="AL29" s="53" t="b">
        <f t="shared" si="13"/>
        <v>0</v>
      </c>
      <c r="AM29" s="53" t="b">
        <f t="shared" si="14"/>
        <v>0</v>
      </c>
      <c r="AN29" s="53" t="b">
        <f t="shared" si="15"/>
        <v>0</v>
      </c>
      <c r="AO29" s="53" t="b">
        <f t="shared" si="16"/>
        <v>0</v>
      </c>
      <c r="AP29" s="53" t="b">
        <f t="shared" si="17"/>
        <v>0</v>
      </c>
    </row>
    <row r="30" spans="5:42" ht="20" customHeight="1">
      <c r="E30" s="83"/>
      <c r="F30" s="83"/>
      <c r="G30" s="83"/>
      <c r="H30" s="83"/>
      <c r="I30" s="83"/>
      <c r="J30" s="83"/>
      <c r="K30" s="83"/>
      <c r="L30" s="83"/>
      <c r="M30" s="83"/>
      <c r="N30" s="83"/>
    </row>
  </sheetData>
  <mergeCells count="4">
    <mergeCell ref="D3:U3"/>
    <mergeCell ref="D5:U5"/>
    <mergeCell ref="E30:N30"/>
    <mergeCell ref="C4:V4"/>
  </mergeCells>
  <conditionalFormatting sqref="AJ30:AL31">
    <cfRule type="cellIs" dxfId="51" priority="21" operator="equal">
      <formula>TRUE</formula>
    </cfRule>
  </conditionalFormatting>
  <conditionalFormatting sqref="C10">
    <cfRule type="cellIs" dxfId="50" priority="20" operator="equal">
      <formula>TRUE</formula>
    </cfRule>
  </conditionalFormatting>
  <conditionalFormatting sqref="Z10:AP29">
    <cfRule type="cellIs" dxfId="49" priority="19" operator="equal">
      <formula>TRUE</formula>
    </cfRule>
  </conditionalFormatting>
  <conditionalFormatting sqref="Z30:AI40">
    <cfRule type="cellIs" dxfId="48" priority="18" operator="equal">
      <formula>TRUE</formula>
    </cfRule>
  </conditionalFormatting>
  <conditionalFormatting sqref="I2">
    <cfRule type="expression" dxfId="47" priority="8">
      <formula>"AND(E5&lt;&gt;"""" , OR( AND(AND(E5=A1,E5=B2),AND(E5=C3,E5=D4)), AND(AND(E5=B2,E5=C3),AND(E5=D4,E5=F6)), AND(AND(E5=C3,E5=D4),AND(E5=F6,E5=G7)), AND(AND(E5=D4,E5=F6),AND(E5=G7,E5=H8)), AND(AND(E5=F6,E5=G7),AND(E5=H8,E5=I9)), AND(AND(E5=A9,E5=B8),AND(E5=C7,E5=D6))"</formula>
    </cfRule>
  </conditionalFormatting>
  <conditionalFormatting sqref="F11:N29 P11:X29">
    <cfRule type="expression" dxfId="46" priority="5">
      <formula>"AND(E5&lt;&gt;"""" , OR( AND(AND(E5=A1,E5=B2),AND(E5=C3,E5=D4)), AND(AND(E5=B2,E5=C3),AND(E5=D4,E5=F6)), AND(AND(E5=C3,E5=D4),AND(E5=F6,E5=G7)), AND(AND(E5=D4,E5=F6),AND(E5=G7,E5=H8)), AND(AND(E5=F6,E5=G7),AND(E5=H8,E5=I9)), AND(AND(E5=A9,E5=B8),AND(E5=C7,E5=D6))"</formula>
    </cfRule>
  </conditionalFormatting>
  <conditionalFormatting sqref="X10:X29">
    <cfRule type="expression" dxfId="45" priority="32">
      <formula>AND(AQ10=TRUE,AQ10)</formula>
    </cfRule>
  </conditionalFormatting>
  <conditionalFormatting sqref="E10:W29">
    <cfRule type="expression" dxfId="44" priority="33">
      <formula>AND(Z10=TRUE,Z10)</formula>
    </cfRule>
  </conditionalFormatting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1AE4E-B9E9-794E-985C-8D86A722E877}">
  <sheetPr codeName="Sheet12"/>
  <dimension ref="E1:N6"/>
  <sheetViews>
    <sheetView zoomScale="200" zoomScaleNormal="188" workbookViewId="0">
      <selection activeCell="J14" sqref="J14"/>
    </sheetView>
  </sheetViews>
  <sheetFormatPr baseColWidth="10" defaultColWidth="4.83203125" defaultRowHeight="20" customHeight="1"/>
  <cols>
    <col min="1" max="3" width="4.83203125" style="54"/>
    <col min="4" max="4" width="5.1640625" style="54" bestFit="1" customWidth="1"/>
    <col min="5" max="5" width="5" style="54" bestFit="1" customWidth="1"/>
    <col min="6" max="6" width="5.1640625" style="54" bestFit="1" customWidth="1"/>
    <col min="7" max="7" width="5" style="54" bestFit="1" customWidth="1"/>
    <col min="8" max="8" width="5.1640625" style="54" bestFit="1" customWidth="1"/>
    <col min="9" max="9" width="5" style="54" bestFit="1" customWidth="1"/>
    <col min="10" max="10" width="5.1640625" style="54" bestFit="1" customWidth="1"/>
    <col min="11" max="11" width="4.83203125" style="54"/>
    <col min="12" max="14" width="5" style="54" bestFit="1" customWidth="1"/>
    <col min="15" max="22" width="4.83203125" style="54"/>
    <col min="23" max="32" width="5.5" style="54" bestFit="1" customWidth="1"/>
    <col min="33" max="38" width="5.33203125" style="54" bestFit="1" customWidth="1"/>
    <col min="39" max="16384" width="4.83203125" style="54"/>
  </cols>
  <sheetData>
    <row r="1" spans="5:14" ht="20" customHeight="1">
      <c r="E1" s="83" t="s">
        <v>36</v>
      </c>
      <c r="F1" s="83"/>
      <c r="G1" s="83"/>
      <c r="H1" s="83"/>
      <c r="I1" s="83"/>
      <c r="J1" s="83"/>
      <c r="K1" s="83"/>
      <c r="L1" s="83"/>
      <c r="M1" s="83"/>
      <c r="N1" s="83"/>
    </row>
    <row r="2" spans="5:14" ht="20" customHeight="1" thickBot="1"/>
    <row r="3" spans="5:14" ht="20" customHeight="1" thickTop="1" thickBot="1">
      <c r="E3" s="56">
        <v>1</v>
      </c>
      <c r="F3" s="56">
        <v>2</v>
      </c>
      <c r="G3" s="54" t="s">
        <v>2</v>
      </c>
      <c r="H3" s="55">
        <v>1</v>
      </c>
      <c r="I3" s="55">
        <v>2</v>
      </c>
      <c r="J3" s="55">
        <v>5</v>
      </c>
      <c r="K3" s="54" t="s">
        <v>20</v>
      </c>
      <c r="L3" s="56">
        <f>$E3*H$3+$F3*H$4</f>
        <v>7</v>
      </c>
      <c r="M3" s="56">
        <f>$E3*I$3+$F3*I$4</f>
        <v>10</v>
      </c>
      <c r="N3" s="56">
        <f>$E3*J$3+$F3*J$4</f>
        <v>17</v>
      </c>
    </row>
    <row r="4" spans="5:14" ht="20" customHeight="1" thickTop="1" thickBot="1">
      <c r="E4" s="56">
        <v>3</v>
      </c>
      <c r="F4" s="56">
        <v>4</v>
      </c>
      <c r="H4" s="55">
        <v>3</v>
      </c>
      <c r="I4" s="55">
        <v>4</v>
      </c>
      <c r="J4" s="55">
        <v>6</v>
      </c>
      <c r="L4" s="56">
        <f t="shared" ref="L4:N5" si="0">$E4*H$3+$F4*H$4</f>
        <v>15</v>
      </c>
      <c r="M4" s="56">
        <f t="shared" si="0"/>
        <v>22</v>
      </c>
      <c r="N4" s="56">
        <f t="shared" si="0"/>
        <v>39</v>
      </c>
    </row>
    <row r="5" spans="5:14" ht="20" customHeight="1" thickTop="1" thickBot="1">
      <c r="E5" s="56">
        <v>5</v>
      </c>
      <c r="F5" s="56">
        <v>6</v>
      </c>
      <c r="L5" s="56">
        <f t="shared" si="0"/>
        <v>23</v>
      </c>
      <c r="M5" s="56">
        <f t="shared" si="0"/>
        <v>34</v>
      </c>
      <c r="N5" s="56">
        <f t="shared" si="0"/>
        <v>61</v>
      </c>
    </row>
    <row r="6" spans="5:14" ht="20" customHeight="1" thickTop="1"/>
  </sheetData>
  <mergeCells count="1">
    <mergeCell ref="E1:N1"/>
  </mergeCells>
  <conditionalFormatting sqref="AG1:AI2">
    <cfRule type="cellIs" dxfId="43" priority="6" operator="equal">
      <formula>TRUE</formula>
    </cfRule>
  </conditionalFormatting>
  <conditionalFormatting sqref="W1:AF11">
    <cfRule type="cellIs" dxfId="42" priority="3" operator="equal">
      <formula>TRUE</formula>
    </cfRule>
  </conditionalFormatting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E4B60-EE82-534C-BF32-9C7806856896}">
  <sheetPr codeName="Sheet8"/>
  <dimension ref="A1:Y46"/>
  <sheetViews>
    <sheetView topLeftCell="A38" zoomScale="87" zoomScaleNormal="108" workbookViewId="0">
      <selection activeCell="B46" sqref="B46:N46"/>
    </sheetView>
  </sheetViews>
  <sheetFormatPr baseColWidth="10" defaultRowHeight="21"/>
  <cols>
    <col min="1" max="2" width="10.83203125" style="3"/>
    <col min="3" max="3" width="12.83203125" style="3" bestFit="1" customWidth="1"/>
    <col min="4" max="4" width="12.83203125" style="3" customWidth="1"/>
    <col min="5" max="25" width="10.83203125" style="1" customWidth="1"/>
    <col min="26" max="16384" width="10.83203125" style="3"/>
  </cols>
  <sheetData>
    <row r="1" spans="3:25" ht="24" thickBot="1">
      <c r="C1" s="85" t="s">
        <v>5</v>
      </c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</row>
    <row r="2" spans="3:25" ht="22" thickTop="1"/>
    <row r="4" spans="3:25" ht="21" customHeight="1">
      <c r="E4" s="86" t="s">
        <v>4</v>
      </c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</row>
    <row r="5" spans="3:25">
      <c r="C5" s="13">
        <v>0.12</v>
      </c>
      <c r="D5" s="13"/>
      <c r="E5" s="2">
        <v>0</v>
      </c>
      <c r="F5" s="2">
        <f>E5+0.5</f>
        <v>0.5</v>
      </c>
      <c r="G5" s="2">
        <f t="shared" ref="G5" si="0">F5+1</f>
        <v>1.5</v>
      </c>
      <c r="H5" s="2">
        <f t="shared" ref="H5" si="1">G5+1</f>
        <v>2.5</v>
      </c>
      <c r="I5" s="2">
        <f t="shared" ref="I5" si="2">H5+1</f>
        <v>3.5</v>
      </c>
      <c r="J5" s="2">
        <f t="shared" ref="J5" si="3">I5+1</f>
        <v>4.5</v>
      </c>
      <c r="K5" s="2">
        <f t="shared" ref="K5" si="4">J5+1</f>
        <v>5.5</v>
      </c>
      <c r="L5" s="2">
        <f t="shared" ref="L5" si="5">K5+1</f>
        <v>6.5</v>
      </c>
      <c r="M5" s="2">
        <f t="shared" ref="M5" si="6">L5+1</f>
        <v>7.5</v>
      </c>
      <c r="N5" s="2">
        <f t="shared" ref="N5" si="7">M5+1</f>
        <v>8.5</v>
      </c>
      <c r="O5" s="2">
        <f t="shared" ref="O5" si="8">N5+1</f>
        <v>9.5</v>
      </c>
      <c r="P5" s="2">
        <f t="shared" ref="P5" si="9">O5+1</f>
        <v>10.5</v>
      </c>
      <c r="Q5" s="2">
        <f t="shared" ref="Q5" si="10">P5+1</f>
        <v>11.5</v>
      </c>
      <c r="R5" s="2">
        <f t="shared" ref="R5" si="11">Q5+1</f>
        <v>12.5</v>
      </c>
      <c r="S5" s="2">
        <f t="shared" ref="S5" si="12">R5+1</f>
        <v>13.5</v>
      </c>
      <c r="T5" s="2">
        <f t="shared" ref="T5" si="13">S5+1</f>
        <v>14.5</v>
      </c>
      <c r="U5" s="2">
        <f t="shared" ref="U5" si="14">T5+1</f>
        <v>15.5</v>
      </c>
      <c r="V5" s="2">
        <f t="shared" ref="V5" si="15">U5+1</f>
        <v>16.5</v>
      </c>
      <c r="W5" s="2">
        <f t="shared" ref="W5" si="16">V5+1</f>
        <v>17.5</v>
      </c>
      <c r="X5" s="2">
        <f t="shared" ref="X5" si="17">W5+1</f>
        <v>18.5</v>
      </c>
      <c r="Y5" s="2">
        <f t="shared" ref="Y5" si="18">X5+1</f>
        <v>19.5</v>
      </c>
    </row>
    <row r="6" spans="3:25">
      <c r="C6" s="13">
        <v>0.12</v>
      </c>
      <c r="D6" s="3" t="s">
        <v>7</v>
      </c>
      <c r="E6" s="14">
        <v>100</v>
      </c>
      <c r="F6" s="14">
        <f xml:space="preserve"> $C6*E6 + E6</f>
        <v>112</v>
      </c>
      <c r="G6" s="14">
        <f t="shared" ref="G6:W6" si="19" xml:space="preserve"> $C6*F6 + F6</f>
        <v>125.44</v>
      </c>
      <c r="H6" s="14">
        <f t="shared" si="19"/>
        <v>140.49279999999999</v>
      </c>
      <c r="I6" s="14">
        <f t="shared" si="19"/>
        <v>157.35193599999999</v>
      </c>
      <c r="J6" s="14">
        <f t="shared" si="19"/>
        <v>176.23416831999998</v>
      </c>
      <c r="K6" s="14">
        <f t="shared" si="19"/>
        <v>197.38226851839997</v>
      </c>
      <c r="L6" s="14">
        <f t="shared" si="19"/>
        <v>221.06814074060796</v>
      </c>
      <c r="M6" s="14">
        <f t="shared" si="19"/>
        <v>247.59631762948092</v>
      </c>
      <c r="N6" s="14">
        <f t="shared" si="19"/>
        <v>277.30787574501863</v>
      </c>
      <c r="O6" s="14">
        <f t="shared" si="19"/>
        <v>310.58482083442084</v>
      </c>
      <c r="P6" s="14">
        <f t="shared" si="19"/>
        <v>347.85499933455134</v>
      </c>
      <c r="Q6" s="14">
        <f t="shared" si="19"/>
        <v>389.59759925469751</v>
      </c>
      <c r="R6" s="14">
        <f t="shared" si="19"/>
        <v>436.34931116526121</v>
      </c>
      <c r="S6" s="14">
        <f t="shared" si="19"/>
        <v>488.71122850509255</v>
      </c>
      <c r="T6" s="14">
        <f t="shared" si="19"/>
        <v>547.35657592570362</v>
      </c>
      <c r="U6" s="14">
        <f t="shared" si="19"/>
        <v>613.03936503678801</v>
      </c>
      <c r="V6" s="14">
        <f t="shared" si="19"/>
        <v>686.60408884120261</v>
      </c>
      <c r="W6" s="14">
        <f t="shared" si="19"/>
        <v>768.99657950214691</v>
      </c>
      <c r="X6" s="14">
        <f t="shared" ref="X6" si="20">W6*(1+ $C6)</f>
        <v>861.2761690424046</v>
      </c>
      <c r="Y6" s="14">
        <f t="shared" ref="Y6" si="21">X6*(1+ $C6)</f>
        <v>964.62930932749327</v>
      </c>
    </row>
    <row r="7" spans="3:25">
      <c r="C7" s="13">
        <v>0.12</v>
      </c>
      <c r="D7" s="3" t="s">
        <v>8</v>
      </c>
      <c r="E7" s="15">
        <v>100</v>
      </c>
      <c r="F7" s="15">
        <f t="shared" ref="F7:Y7" si="22">$C$7*$E$7+E$7</f>
        <v>112</v>
      </c>
      <c r="G7" s="15">
        <f>$C$7*$E$7+F$7</f>
        <v>124</v>
      </c>
      <c r="H7" s="15">
        <f>$C$7*$E$7+G$7</f>
        <v>136</v>
      </c>
      <c r="I7" s="15">
        <f t="shared" si="22"/>
        <v>148</v>
      </c>
      <c r="J7" s="15">
        <f t="shared" si="22"/>
        <v>160</v>
      </c>
      <c r="K7" s="15">
        <f t="shared" si="22"/>
        <v>172</v>
      </c>
      <c r="L7" s="15">
        <f t="shared" si="22"/>
        <v>184</v>
      </c>
      <c r="M7" s="15">
        <f t="shared" si="22"/>
        <v>196</v>
      </c>
      <c r="N7" s="15">
        <f t="shared" si="22"/>
        <v>208</v>
      </c>
      <c r="O7" s="15">
        <f t="shared" si="22"/>
        <v>220</v>
      </c>
      <c r="P7" s="15">
        <f t="shared" si="22"/>
        <v>232</v>
      </c>
      <c r="Q7" s="16">
        <f t="shared" si="22"/>
        <v>244</v>
      </c>
      <c r="R7" s="15">
        <f t="shared" si="22"/>
        <v>256</v>
      </c>
      <c r="S7" s="15">
        <f t="shared" si="22"/>
        <v>268</v>
      </c>
      <c r="T7" s="15">
        <f t="shared" si="22"/>
        <v>280</v>
      </c>
      <c r="U7" s="15">
        <f t="shared" si="22"/>
        <v>292</v>
      </c>
      <c r="V7" s="15">
        <f t="shared" si="22"/>
        <v>304</v>
      </c>
      <c r="W7" s="15">
        <f t="shared" si="22"/>
        <v>316</v>
      </c>
      <c r="X7" s="15">
        <f t="shared" si="22"/>
        <v>328</v>
      </c>
      <c r="Y7" s="15">
        <f t="shared" si="22"/>
        <v>340</v>
      </c>
    </row>
    <row r="29" spans="4:16" ht="23">
      <c r="E29" s="87" t="s">
        <v>9</v>
      </c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9"/>
    </row>
    <row r="30" spans="4:16">
      <c r="D30" s="3">
        <v>1</v>
      </c>
      <c r="E30" s="1">
        <f>D30+1</f>
        <v>2</v>
      </c>
      <c r="F30" s="1">
        <f t="shared" ref="F30:P30" si="23">E30+1</f>
        <v>3</v>
      </c>
      <c r="G30" s="1">
        <f t="shared" si="23"/>
        <v>4</v>
      </c>
      <c r="H30" s="1">
        <f t="shared" si="23"/>
        <v>5</v>
      </c>
      <c r="I30" s="1">
        <f t="shared" si="23"/>
        <v>6</v>
      </c>
      <c r="J30" s="1">
        <f t="shared" si="23"/>
        <v>7</v>
      </c>
      <c r="K30" s="1">
        <f t="shared" si="23"/>
        <v>8</v>
      </c>
      <c r="L30" s="1">
        <f t="shared" si="23"/>
        <v>9</v>
      </c>
      <c r="M30" s="1">
        <f t="shared" si="23"/>
        <v>10</v>
      </c>
      <c r="N30" s="1">
        <f t="shared" si="23"/>
        <v>11</v>
      </c>
      <c r="O30" s="1">
        <f t="shared" si="23"/>
        <v>12</v>
      </c>
      <c r="P30" s="1">
        <f t="shared" si="23"/>
        <v>13</v>
      </c>
    </row>
    <row r="31" spans="4:16">
      <c r="D31" s="17">
        <f>D30+1</f>
        <v>2</v>
      </c>
      <c r="E31" s="18">
        <f>$D31/E$30</f>
        <v>1</v>
      </c>
      <c r="F31" s="18">
        <f t="shared" ref="F31:P42" si="24">$D31/F$30</f>
        <v>0.66666666666666663</v>
      </c>
      <c r="G31" s="18">
        <f t="shared" si="24"/>
        <v>0.5</v>
      </c>
      <c r="H31" s="18">
        <f t="shared" si="24"/>
        <v>0.4</v>
      </c>
      <c r="I31" s="18">
        <f t="shared" si="24"/>
        <v>0.33333333333333331</v>
      </c>
      <c r="J31" s="18">
        <f t="shared" si="24"/>
        <v>0.2857142857142857</v>
      </c>
      <c r="K31" s="18">
        <f t="shared" si="24"/>
        <v>0.25</v>
      </c>
      <c r="L31" s="18">
        <f t="shared" si="24"/>
        <v>0.22222222222222221</v>
      </c>
      <c r="M31" s="18">
        <f t="shared" si="24"/>
        <v>0.2</v>
      </c>
      <c r="N31" s="18">
        <f t="shared" si="24"/>
        <v>0.18181818181818182</v>
      </c>
      <c r="O31" s="18">
        <f t="shared" si="24"/>
        <v>0.16666666666666666</v>
      </c>
      <c r="P31" s="18">
        <f t="shared" si="24"/>
        <v>0.15384615384615385</v>
      </c>
    </row>
    <row r="32" spans="4:16">
      <c r="D32" s="17">
        <f t="shared" ref="D32:D42" si="25">D31+1</f>
        <v>3</v>
      </c>
      <c r="E32" s="18">
        <f t="shared" ref="E32:E42" si="26">$D32/E$30</f>
        <v>1.5</v>
      </c>
      <c r="F32" s="18">
        <f t="shared" si="24"/>
        <v>1</v>
      </c>
      <c r="G32" s="18">
        <f t="shared" si="24"/>
        <v>0.75</v>
      </c>
      <c r="H32" s="18">
        <f t="shared" si="24"/>
        <v>0.6</v>
      </c>
      <c r="I32" s="18">
        <f t="shared" si="24"/>
        <v>0.5</v>
      </c>
      <c r="J32" s="18">
        <f t="shared" si="24"/>
        <v>0.42857142857142855</v>
      </c>
      <c r="K32" s="18">
        <f t="shared" si="24"/>
        <v>0.375</v>
      </c>
      <c r="L32" s="18">
        <f t="shared" si="24"/>
        <v>0.33333333333333331</v>
      </c>
      <c r="M32" s="18">
        <f t="shared" si="24"/>
        <v>0.3</v>
      </c>
      <c r="N32" s="18">
        <f t="shared" si="24"/>
        <v>0.27272727272727271</v>
      </c>
      <c r="O32" s="18">
        <f t="shared" si="24"/>
        <v>0.25</v>
      </c>
      <c r="P32" s="18">
        <f t="shared" si="24"/>
        <v>0.23076923076923078</v>
      </c>
    </row>
    <row r="33" spans="1:16">
      <c r="D33" s="17">
        <f t="shared" si="25"/>
        <v>4</v>
      </c>
      <c r="E33" s="18">
        <f t="shared" si="26"/>
        <v>2</v>
      </c>
      <c r="F33" s="18">
        <f t="shared" si="24"/>
        <v>1.3333333333333333</v>
      </c>
      <c r="G33" s="18">
        <f t="shared" si="24"/>
        <v>1</v>
      </c>
      <c r="H33" s="18">
        <f t="shared" si="24"/>
        <v>0.8</v>
      </c>
      <c r="I33" s="18">
        <f t="shared" si="24"/>
        <v>0.66666666666666663</v>
      </c>
      <c r="J33" s="18">
        <f t="shared" si="24"/>
        <v>0.5714285714285714</v>
      </c>
      <c r="K33" s="18">
        <f t="shared" si="24"/>
        <v>0.5</v>
      </c>
      <c r="L33" s="18">
        <f t="shared" si="24"/>
        <v>0.44444444444444442</v>
      </c>
      <c r="M33" s="18">
        <f t="shared" si="24"/>
        <v>0.4</v>
      </c>
      <c r="N33" s="18">
        <f t="shared" si="24"/>
        <v>0.36363636363636365</v>
      </c>
      <c r="O33" s="18">
        <f t="shared" si="24"/>
        <v>0.33333333333333331</v>
      </c>
      <c r="P33" s="18">
        <f t="shared" si="24"/>
        <v>0.30769230769230771</v>
      </c>
    </row>
    <row r="34" spans="1:16">
      <c r="D34" s="17">
        <f t="shared" si="25"/>
        <v>5</v>
      </c>
      <c r="E34" s="18">
        <f t="shared" si="26"/>
        <v>2.5</v>
      </c>
      <c r="F34" s="18">
        <f t="shared" si="24"/>
        <v>1.6666666666666667</v>
      </c>
      <c r="G34" s="18">
        <f t="shared" si="24"/>
        <v>1.25</v>
      </c>
      <c r="H34" s="18">
        <f>K46</f>
        <v>81</v>
      </c>
      <c r="I34" s="18">
        <f t="shared" si="24"/>
        <v>0.83333333333333337</v>
      </c>
      <c r="J34" s="18">
        <f t="shared" si="24"/>
        <v>0.7142857142857143</v>
      </c>
      <c r="K34" s="18">
        <f t="shared" si="24"/>
        <v>0.625</v>
      </c>
      <c r="L34" s="18">
        <f t="shared" si="24"/>
        <v>0.55555555555555558</v>
      </c>
      <c r="M34" s="18">
        <f t="shared" si="24"/>
        <v>0.5</v>
      </c>
      <c r="N34" s="18">
        <f t="shared" si="24"/>
        <v>0.45454545454545453</v>
      </c>
      <c r="O34" s="18">
        <f t="shared" si="24"/>
        <v>0.41666666666666669</v>
      </c>
      <c r="P34" s="18">
        <f t="shared" si="24"/>
        <v>0.38461538461538464</v>
      </c>
    </row>
    <row r="35" spans="1:16">
      <c r="D35" s="17">
        <f t="shared" si="25"/>
        <v>6</v>
      </c>
      <c r="E35" s="18">
        <f t="shared" si="26"/>
        <v>3</v>
      </c>
      <c r="F35" s="18">
        <f t="shared" si="24"/>
        <v>2</v>
      </c>
      <c r="G35" s="18">
        <f t="shared" si="24"/>
        <v>1.5</v>
      </c>
      <c r="H35" s="18">
        <f t="shared" si="24"/>
        <v>1.2</v>
      </c>
      <c r="I35" s="18">
        <f t="shared" si="24"/>
        <v>1</v>
      </c>
      <c r="J35" s="18">
        <f t="shared" si="24"/>
        <v>0.8571428571428571</v>
      </c>
      <c r="K35" s="18">
        <f t="shared" si="24"/>
        <v>0.75</v>
      </c>
      <c r="L35" s="18">
        <f t="shared" si="24"/>
        <v>0.66666666666666663</v>
      </c>
      <c r="M35" s="18">
        <f t="shared" si="24"/>
        <v>0.6</v>
      </c>
      <c r="N35" s="18">
        <f t="shared" si="24"/>
        <v>0.54545454545454541</v>
      </c>
      <c r="O35" s="18">
        <f t="shared" si="24"/>
        <v>0.5</v>
      </c>
      <c r="P35" s="18">
        <f t="shared" si="24"/>
        <v>0.46153846153846156</v>
      </c>
    </row>
    <row r="36" spans="1:16">
      <c r="D36" s="17">
        <f t="shared" si="25"/>
        <v>7</v>
      </c>
      <c r="E36" s="18">
        <f t="shared" si="26"/>
        <v>3.5</v>
      </c>
      <c r="F36" s="18">
        <f t="shared" si="24"/>
        <v>2.3333333333333335</v>
      </c>
      <c r="G36" s="18">
        <f t="shared" si="24"/>
        <v>1.75</v>
      </c>
      <c r="H36" s="18">
        <f t="shared" si="24"/>
        <v>1.4</v>
      </c>
      <c r="I36" s="18">
        <f t="shared" si="24"/>
        <v>1.1666666666666667</v>
      </c>
      <c r="J36" s="18">
        <f t="shared" si="24"/>
        <v>1</v>
      </c>
      <c r="K36" s="18">
        <f t="shared" si="24"/>
        <v>0.875</v>
      </c>
      <c r="L36" s="18">
        <f t="shared" si="24"/>
        <v>0.77777777777777779</v>
      </c>
      <c r="M36" s="18">
        <f t="shared" si="24"/>
        <v>0.7</v>
      </c>
      <c r="N36" s="18">
        <f t="shared" si="24"/>
        <v>0.63636363636363635</v>
      </c>
      <c r="O36" s="18">
        <f t="shared" si="24"/>
        <v>0.58333333333333337</v>
      </c>
      <c r="P36" s="18">
        <f t="shared" si="24"/>
        <v>0.53846153846153844</v>
      </c>
    </row>
    <row r="37" spans="1:16">
      <c r="D37" s="17">
        <f t="shared" si="25"/>
        <v>8</v>
      </c>
      <c r="E37" s="18">
        <f t="shared" si="26"/>
        <v>4</v>
      </c>
      <c r="F37" s="18">
        <f t="shared" si="24"/>
        <v>2.6666666666666665</v>
      </c>
      <c r="G37" s="18">
        <f t="shared" si="24"/>
        <v>2</v>
      </c>
      <c r="H37" s="18">
        <f t="shared" si="24"/>
        <v>1.6</v>
      </c>
      <c r="I37" s="18">
        <f t="shared" si="24"/>
        <v>1.3333333333333333</v>
      </c>
      <c r="J37" s="18">
        <f t="shared" si="24"/>
        <v>1.1428571428571428</v>
      </c>
      <c r="K37" s="18">
        <f t="shared" si="24"/>
        <v>1</v>
      </c>
      <c r="L37" s="18">
        <f t="shared" si="24"/>
        <v>0.88888888888888884</v>
      </c>
      <c r="M37" s="18">
        <f t="shared" si="24"/>
        <v>0.8</v>
      </c>
      <c r="N37" s="18">
        <f t="shared" si="24"/>
        <v>0.72727272727272729</v>
      </c>
      <c r="O37" s="18">
        <f t="shared" si="24"/>
        <v>0.66666666666666663</v>
      </c>
      <c r="P37" s="18">
        <f t="shared" si="24"/>
        <v>0.61538461538461542</v>
      </c>
    </row>
    <row r="38" spans="1:16">
      <c r="D38" s="17">
        <f t="shared" si="25"/>
        <v>9</v>
      </c>
      <c r="E38" s="18">
        <f t="shared" si="26"/>
        <v>4.5</v>
      </c>
      <c r="F38" s="18">
        <f t="shared" si="24"/>
        <v>3</v>
      </c>
      <c r="G38" s="18">
        <f t="shared" si="24"/>
        <v>2.25</v>
      </c>
      <c r="H38" s="18">
        <f t="shared" si="24"/>
        <v>1.8</v>
      </c>
      <c r="I38" s="18">
        <f t="shared" si="24"/>
        <v>1.5</v>
      </c>
      <c r="J38" s="18">
        <f t="shared" si="24"/>
        <v>1.2857142857142858</v>
      </c>
      <c r="K38" s="18">
        <f t="shared" si="24"/>
        <v>1.125</v>
      </c>
      <c r="L38" s="18">
        <f t="shared" si="24"/>
        <v>1</v>
      </c>
      <c r="M38" s="18">
        <f t="shared" si="24"/>
        <v>0.9</v>
      </c>
      <c r="N38" s="18">
        <f t="shared" si="24"/>
        <v>0.81818181818181823</v>
      </c>
      <c r="O38" s="18">
        <f t="shared" si="24"/>
        <v>0.75</v>
      </c>
      <c r="P38" s="18">
        <f t="shared" si="24"/>
        <v>0.69230769230769229</v>
      </c>
    </row>
    <row r="39" spans="1:16">
      <c r="D39" s="17">
        <f t="shared" si="25"/>
        <v>10</v>
      </c>
      <c r="E39" s="18">
        <f t="shared" si="26"/>
        <v>5</v>
      </c>
      <c r="F39" s="18">
        <f t="shared" si="24"/>
        <v>3.3333333333333335</v>
      </c>
      <c r="G39" s="18">
        <f t="shared" si="24"/>
        <v>2.5</v>
      </c>
      <c r="H39" s="18">
        <f t="shared" si="24"/>
        <v>2</v>
      </c>
      <c r="I39" s="18">
        <f t="shared" si="24"/>
        <v>1.6666666666666667</v>
      </c>
      <c r="J39" s="18">
        <f t="shared" si="24"/>
        <v>1.4285714285714286</v>
      </c>
      <c r="K39" s="18">
        <f t="shared" si="24"/>
        <v>1.25</v>
      </c>
      <c r="L39" s="18">
        <f t="shared" si="24"/>
        <v>1.1111111111111112</v>
      </c>
      <c r="M39" s="18">
        <f t="shared" si="24"/>
        <v>1</v>
      </c>
      <c r="N39" s="18">
        <f t="shared" si="24"/>
        <v>0.90909090909090906</v>
      </c>
      <c r="O39" s="18">
        <f t="shared" si="24"/>
        <v>0.83333333333333337</v>
      </c>
      <c r="P39" s="18">
        <f t="shared" si="24"/>
        <v>0.76923076923076927</v>
      </c>
    </row>
    <row r="40" spans="1:16">
      <c r="D40" s="17">
        <f t="shared" si="25"/>
        <v>11</v>
      </c>
      <c r="E40" s="18">
        <f t="shared" si="26"/>
        <v>5.5</v>
      </c>
      <c r="F40" s="18">
        <f t="shared" si="24"/>
        <v>3.6666666666666665</v>
      </c>
      <c r="G40" s="18">
        <f t="shared" si="24"/>
        <v>2.75</v>
      </c>
      <c r="H40" s="18">
        <f t="shared" si="24"/>
        <v>2.2000000000000002</v>
      </c>
      <c r="I40" s="18">
        <f t="shared" si="24"/>
        <v>1.8333333333333333</v>
      </c>
      <c r="J40" s="18">
        <f t="shared" si="24"/>
        <v>1.5714285714285714</v>
      </c>
      <c r="K40" s="18">
        <f t="shared" si="24"/>
        <v>1.375</v>
      </c>
      <c r="L40" s="18">
        <f t="shared" si="24"/>
        <v>1.2222222222222223</v>
      </c>
      <c r="M40" s="18">
        <f t="shared" si="24"/>
        <v>1.1000000000000001</v>
      </c>
      <c r="N40" s="18">
        <f t="shared" si="24"/>
        <v>1</v>
      </c>
      <c r="O40" s="18">
        <f t="shared" si="24"/>
        <v>0.91666666666666663</v>
      </c>
      <c r="P40" s="18">
        <f t="shared" si="24"/>
        <v>0.84615384615384615</v>
      </c>
    </row>
    <row r="41" spans="1:16">
      <c r="D41" s="17">
        <f t="shared" si="25"/>
        <v>12</v>
      </c>
      <c r="E41" s="18">
        <f t="shared" si="26"/>
        <v>6</v>
      </c>
      <c r="F41" s="18">
        <f t="shared" si="24"/>
        <v>4</v>
      </c>
      <c r="G41" s="18">
        <f t="shared" si="24"/>
        <v>3</v>
      </c>
      <c r="H41" s="18">
        <f t="shared" si="24"/>
        <v>2.4</v>
      </c>
      <c r="I41" s="18">
        <f t="shared" si="24"/>
        <v>2</v>
      </c>
      <c r="J41" s="18">
        <f t="shared" si="24"/>
        <v>1.7142857142857142</v>
      </c>
      <c r="K41" s="18">
        <f t="shared" si="24"/>
        <v>1.5</v>
      </c>
      <c r="L41" s="18">
        <f t="shared" si="24"/>
        <v>1.3333333333333333</v>
      </c>
      <c r="M41" s="18">
        <f t="shared" si="24"/>
        <v>1.2</v>
      </c>
      <c r="N41" s="18">
        <f t="shared" si="24"/>
        <v>1.0909090909090908</v>
      </c>
      <c r="O41" s="18">
        <f t="shared" si="24"/>
        <v>1</v>
      </c>
      <c r="P41" s="18">
        <f t="shared" si="24"/>
        <v>0.92307692307692313</v>
      </c>
    </row>
    <row r="42" spans="1:16">
      <c r="D42" s="17">
        <f t="shared" si="25"/>
        <v>13</v>
      </c>
      <c r="E42" s="18">
        <f t="shared" si="26"/>
        <v>6.5</v>
      </c>
      <c r="F42" s="18">
        <f t="shared" si="24"/>
        <v>4.333333333333333</v>
      </c>
      <c r="G42" s="18">
        <f t="shared" si="24"/>
        <v>3.25</v>
      </c>
      <c r="H42" s="18">
        <f t="shared" si="24"/>
        <v>2.6</v>
      </c>
      <c r="I42" s="18">
        <f t="shared" si="24"/>
        <v>2.1666666666666665</v>
      </c>
      <c r="J42" s="18">
        <f t="shared" si="24"/>
        <v>1.8571428571428572</v>
      </c>
      <c r="K42" s="18">
        <f t="shared" si="24"/>
        <v>1.625</v>
      </c>
      <c r="L42" s="18">
        <f t="shared" si="24"/>
        <v>1.4444444444444444</v>
      </c>
      <c r="M42" s="18">
        <f t="shared" si="24"/>
        <v>1.3</v>
      </c>
      <c r="N42" s="18">
        <f t="shared" si="24"/>
        <v>1.1818181818181819</v>
      </c>
      <c r="O42" s="18">
        <f t="shared" si="24"/>
        <v>1.0833333333333333</v>
      </c>
      <c r="P42" s="18">
        <f t="shared" si="24"/>
        <v>1</v>
      </c>
    </row>
    <row r="45" spans="1:16">
      <c r="A45" s="3" t="s">
        <v>31</v>
      </c>
      <c r="B45" s="3">
        <v>1</v>
      </c>
      <c r="C45" s="3">
        <v>2</v>
      </c>
      <c r="D45" s="3">
        <v>1</v>
      </c>
      <c r="E45" s="3">
        <v>2</v>
      </c>
      <c r="F45" s="3">
        <v>1</v>
      </c>
      <c r="G45" s="3">
        <v>2</v>
      </c>
      <c r="H45" s="3">
        <v>1</v>
      </c>
      <c r="I45" s="3">
        <v>2</v>
      </c>
      <c r="J45" s="3">
        <v>1</v>
      </c>
      <c r="K45" s="3">
        <v>2</v>
      </c>
      <c r="L45" s="3">
        <v>1</v>
      </c>
      <c r="M45" s="3">
        <v>2</v>
      </c>
      <c r="N45" s="3">
        <v>1</v>
      </c>
      <c r="O45" s="1" t="s">
        <v>29</v>
      </c>
      <c r="P45" s="1" t="s">
        <v>30</v>
      </c>
    </row>
    <row r="46" spans="1:16">
      <c r="A46" s="3" t="s">
        <v>28</v>
      </c>
      <c r="B46" s="1">
        <v>25</v>
      </c>
      <c r="C46" s="1">
        <v>35</v>
      </c>
      <c r="D46" s="1">
        <v>57</v>
      </c>
      <c r="E46" s="1">
        <v>66</v>
      </c>
      <c r="F46" s="3">
        <v>72</v>
      </c>
      <c r="G46" s="1">
        <v>72</v>
      </c>
      <c r="H46" s="1">
        <v>73</v>
      </c>
      <c r="I46" s="1">
        <v>80</v>
      </c>
      <c r="J46" s="3">
        <v>81</v>
      </c>
      <c r="K46" s="1">
        <v>81</v>
      </c>
      <c r="L46" s="3">
        <v>91</v>
      </c>
      <c r="M46" s="1">
        <v>95</v>
      </c>
      <c r="N46" s="1">
        <v>99</v>
      </c>
      <c r="O46" s="1">
        <f>SUM(B46:N46)</f>
        <v>927</v>
      </c>
      <c r="P46" s="1">
        <f>AVERAGE(B46:N46)</f>
        <v>71.307692307692307</v>
      </c>
    </row>
  </sheetData>
  <sortState xmlns:xlrd2="http://schemas.microsoft.com/office/spreadsheetml/2017/richdata2" columnSort="1" ref="B46:N46">
    <sortCondition ref="B46:N46"/>
  </sortState>
  <mergeCells count="3">
    <mergeCell ref="C1:Y1"/>
    <mergeCell ref="E4:Y4"/>
    <mergeCell ref="E29:P29"/>
  </mergeCells>
  <conditionalFormatting sqref="E6:Y6">
    <cfRule type="cellIs" dxfId="41" priority="3" operator="between">
      <formula>190</formula>
      <formula>211</formula>
    </cfRule>
    <cfRule type="cellIs" dxfId="40" priority="4" operator="between">
      <formula>190</formula>
      <formula>210</formula>
    </cfRule>
  </conditionalFormatting>
  <conditionalFormatting sqref="E5:Y5">
    <cfRule type="cellIs" dxfId="39" priority="1" operator="between">
      <formula>190</formula>
      <formula>211</formula>
    </cfRule>
    <cfRule type="cellIs" dxfId="38" priority="2" operator="between">
      <formula>190</formula>
      <formula>210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959B-D9CF-FE48-A02F-8DBDC56D75B7}">
  <sheetPr codeName="Sheet1"/>
  <dimension ref="A1:BB36"/>
  <sheetViews>
    <sheetView zoomScale="50" zoomScaleNormal="135" workbookViewId="0">
      <selection activeCell="I21" sqref="I21"/>
    </sheetView>
  </sheetViews>
  <sheetFormatPr baseColWidth="10" defaultColWidth="6.83203125" defaultRowHeight="37"/>
  <cols>
    <col min="1" max="1" width="25" style="22" bestFit="1" customWidth="1"/>
    <col min="2" max="14" width="6.83203125" style="22"/>
    <col min="15" max="15" width="25" style="22" bestFit="1" customWidth="1"/>
    <col min="16" max="16384" width="6.83203125" style="22"/>
  </cols>
  <sheetData>
    <row r="1" spans="1:54" ht="40" thickTop="1" thickBot="1">
      <c r="A1" s="71">
        <v>1</v>
      </c>
      <c r="F1" s="24"/>
      <c r="O1" s="22" t="s">
        <v>26</v>
      </c>
    </row>
    <row r="2" spans="1:54" ht="47" thickTop="1" thickBot="1">
      <c r="A2" s="22">
        <v>2</v>
      </c>
      <c r="B2" s="93" t="s">
        <v>14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5"/>
      <c r="Q2" s="23"/>
    </row>
    <row r="3" spans="1:54" ht="46" customHeight="1" thickTop="1" thickBot="1">
      <c r="A3" s="71">
        <v>3</v>
      </c>
      <c r="B3" s="25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7"/>
      <c r="P3" s="96" t="s">
        <v>16</v>
      </c>
      <c r="Q3" s="97"/>
      <c r="R3" s="97"/>
      <c r="S3" s="97"/>
      <c r="T3" s="97"/>
      <c r="V3" s="97" t="s">
        <v>15</v>
      </c>
      <c r="W3" s="97"/>
      <c r="X3" s="97"/>
      <c r="Y3" s="97"/>
      <c r="Z3" s="97"/>
      <c r="AB3" s="90" t="s">
        <v>12</v>
      </c>
      <c r="AC3" s="91"/>
      <c r="AD3" s="91"/>
      <c r="AE3" s="91"/>
      <c r="AF3" s="91"/>
      <c r="AX3" s="92" t="s">
        <v>13</v>
      </c>
      <c r="AY3" s="92"/>
      <c r="AZ3" s="92"/>
      <c r="BA3" s="92"/>
      <c r="BB3" s="92"/>
    </row>
    <row r="4" spans="1:54" ht="40" thickTop="1" thickBot="1">
      <c r="A4" s="22">
        <v>4</v>
      </c>
      <c r="B4" s="28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9"/>
      <c r="P4" s="30">
        <f>MAX(F7+G8+H9+I10+J11+E6+D5+C4+B3)</f>
        <v>1</v>
      </c>
      <c r="Q4" s="30">
        <f t="shared" ref="Q4:T8" si="0">MAX(G7+H8+I9+J10+K11+F6+E5+D4+C3)</f>
        <v>0</v>
      </c>
      <c r="R4" s="30">
        <f t="shared" si="0"/>
        <v>1</v>
      </c>
      <c r="S4" s="30">
        <f t="shared" si="0"/>
        <v>0</v>
      </c>
      <c r="T4" s="30">
        <f t="shared" si="0"/>
        <v>1</v>
      </c>
      <c r="U4" s="30"/>
      <c r="V4" s="30">
        <f>MAX(F$7:F$11)</f>
        <v>1</v>
      </c>
      <c r="W4" s="30">
        <f t="shared" ref="W4:Z4" si="1">MAX(G$7:G$11)</f>
        <v>0</v>
      </c>
      <c r="X4" s="30">
        <f t="shared" si="1"/>
        <v>1</v>
      </c>
      <c r="Y4" s="30">
        <f t="shared" si="1"/>
        <v>0</v>
      </c>
      <c r="Z4" s="30">
        <f t="shared" si="1"/>
        <v>1</v>
      </c>
      <c r="AB4" s="30">
        <f t="shared" ref="AB4:AF8" si="2">_xlfn.IFS( F7=1, 1, P4+V11+V4+P11&gt;0, "x", TRUE,"")</f>
        <v>1</v>
      </c>
      <c r="AC4" s="30" t="str">
        <f t="shared" si="2"/>
        <v>x</v>
      </c>
      <c r="AD4" s="30">
        <f t="shared" si="2"/>
        <v>1</v>
      </c>
      <c r="AE4" s="30" t="str">
        <f t="shared" si="2"/>
        <v>x</v>
      </c>
      <c r="AF4" s="30">
        <f t="shared" si="2"/>
        <v>1</v>
      </c>
      <c r="AH4" s="46">
        <f>COUNTIF(AB4:AF8,"")</f>
        <v>4</v>
      </c>
      <c r="AX4" s="30">
        <v>6</v>
      </c>
      <c r="AY4" s="30">
        <v>5</v>
      </c>
      <c r="AZ4" s="30">
        <v>2</v>
      </c>
      <c r="BA4" s="30">
        <v>4</v>
      </c>
      <c r="BB4" s="30">
        <v>2</v>
      </c>
    </row>
    <row r="5" spans="1:54" ht="40" thickTop="1" thickBot="1">
      <c r="A5" s="71">
        <v>5</v>
      </c>
      <c r="B5" s="28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9"/>
      <c r="P5" s="30">
        <f t="shared" ref="P5:P8" si="3">MAX(F8+G9+H10+I11+J12+E7+D6+C5+B4)</f>
        <v>0</v>
      </c>
      <c r="Q5" s="30">
        <f t="shared" si="0"/>
        <v>1</v>
      </c>
      <c r="R5" s="30">
        <f t="shared" si="0"/>
        <v>0</v>
      </c>
      <c r="S5" s="30">
        <f t="shared" si="0"/>
        <v>1</v>
      </c>
      <c r="T5" s="30">
        <f t="shared" si="0"/>
        <v>0</v>
      </c>
      <c r="U5" s="30"/>
      <c r="V5" s="30">
        <f t="shared" ref="V5:V8" si="4">MAX(F$7:F$11)</f>
        <v>1</v>
      </c>
      <c r="W5" s="30">
        <f t="shared" ref="W5:W8" si="5">MAX(G$7:G$11)</f>
        <v>0</v>
      </c>
      <c r="X5" s="30">
        <f t="shared" ref="X5:X8" si="6">MAX(H$7:H$11)</f>
        <v>1</v>
      </c>
      <c r="Y5" s="30">
        <f t="shared" ref="Y5:Y8" si="7">MAX(I$7:I$11)</f>
        <v>0</v>
      </c>
      <c r="Z5" s="30">
        <f t="shared" ref="Z5:Z8" si="8">MAX(J$7:J$11)</f>
        <v>1</v>
      </c>
      <c r="AB5" s="30" t="str">
        <f t="shared" si="2"/>
        <v>x</v>
      </c>
      <c r="AC5" s="30" t="str">
        <f t="shared" si="2"/>
        <v>x</v>
      </c>
      <c r="AD5" s="30" t="str">
        <f t="shared" si="2"/>
        <v>x</v>
      </c>
      <c r="AE5" s="30" t="str">
        <f t="shared" si="2"/>
        <v>x</v>
      </c>
      <c r="AF5" s="30" t="str">
        <f t="shared" si="2"/>
        <v>x</v>
      </c>
      <c r="AX5" s="30">
        <v>3</v>
      </c>
      <c r="AY5" s="30">
        <v>2</v>
      </c>
      <c r="AZ5" s="30">
        <v>2</v>
      </c>
      <c r="BA5" s="31">
        <v>0</v>
      </c>
      <c r="BB5" s="31">
        <v>0</v>
      </c>
    </row>
    <row r="6" spans="1:54" ht="40" thickTop="1" thickBot="1">
      <c r="A6" s="22">
        <v>6</v>
      </c>
      <c r="B6" s="28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9"/>
      <c r="P6" s="30">
        <f t="shared" si="3"/>
        <v>0</v>
      </c>
      <c r="Q6" s="30">
        <f t="shared" si="0"/>
        <v>0</v>
      </c>
      <c r="R6" s="30">
        <f t="shared" si="0"/>
        <v>1</v>
      </c>
      <c r="S6" s="30">
        <f t="shared" si="0"/>
        <v>0</v>
      </c>
      <c r="T6" s="30">
        <f t="shared" si="0"/>
        <v>1</v>
      </c>
      <c r="U6" s="30"/>
      <c r="V6" s="30">
        <f t="shared" si="4"/>
        <v>1</v>
      </c>
      <c r="W6" s="30">
        <f t="shared" si="5"/>
        <v>0</v>
      </c>
      <c r="X6" s="30">
        <f t="shared" si="6"/>
        <v>1</v>
      </c>
      <c r="Y6" s="30">
        <f t="shared" si="7"/>
        <v>0</v>
      </c>
      <c r="Z6" s="30">
        <f t="shared" si="8"/>
        <v>1</v>
      </c>
      <c r="AB6" s="30" t="str">
        <f t="shared" si="2"/>
        <v>x</v>
      </c>
      <c r="AC6" s="30" t="str">
        <f t="shared" si="2"/>
        <v/>
      </c>
      <c r="AD6" s="30" t="str">
        <f t="shared" si="2"/>
        <v>x</v>
      </c>
      <c r="AE6" s="30" t="str">
        <f t="shared" si="2"/>
        <v/>
      </c>
      <c r="AF6" s="30" t="str">
        <f t="shared" si="2"/>
        <v>x</v>
      </c>
      <c r="AX6" s="30">
        <v>2</v>
      </c>
      <c r="AY6" s="30">
        <v>2</v>
      </c>
      <c r="AZ6" s="30">
        <v>1</v>
      </c>
      <c r="BA6" s="30">
        <v>1</v>
      </c>
      <c r="BB6" s="31">
        <v>0</v>
      </c>
    </row>
    <row r="7" spans="1:54" ht="40" thickTop="1" thickBot="1">
      <c r="A7" s="71">
        <v>7</v>
      </c>
      <c r="B7" s="28"/>
      <c r="C7" s="23"/>
      <c r="D7" s="23"/>
      <c r="E7" s="23"/>
      <c r="F7" s="41">
        <v>1</v>
      </c>
      <c r="G7" s="42"/>
      <c r="H7" s="42">
        <v>1</v>
      </c>
      <c r="I7" s="42"/>
      <c r="J7" s="43">
        <v>1</v>
      </c>
      <c r="K7" s="23"/>
      <c r="L7" s="23"/>
      <c r="M7" s="23"/>
      <c r="N7" s="29"/>
      <c r="P7" s="30">
        <f t="shared" si="3"/>
        <v>0</v>
      </c>
      <c r="Q7" s="30">
        <f t="shared" si="0"/>
        <v>0</v>
      </c>
      <c r="R7" s="30">
        <f t="shared" si="0"/>
        <v>0</v>
      </c>
      <c r="S7" s="30">
        <f t="shared" si="0"/>
        <v>1</v>
      </c>
      <c r="T7" s="30">
        <f t="shared" si="0"/>
        <v>0</v>
      </c>
      <c r="U7" s="30"/>
      <c r="V7" s="30">
        <f t="shared" si="4"/>
        <v>1</v>
      </c>
      <c r="W7" s="30">
        <f t="shared" si="5"/>
        <v>0</v>
      </c>
      <c r="X7" s="30">
        <f t="shared" si="6"/>
        <v>1</v>
      </c>
      <c r="Y7" s="30">
        <f t="shared" si="7"/>
        <v>0</v>
      </c>
      <c r="Z7" s="30">
        <f t="shared" si="8"/>
        <v>1</v>
      </c>
      <c r="AB7" s="30" t="str">
        <f t="shared" si="2"/>
        <v>x</v>
      </c>
      <c r="AC7" s="30" t="str">
        <f t="shared" si="2"/>
        <v>x</v>
      </c>
      <c r="AD7" s="30" t="str">
        <f t="shared" si="2"/>
        <v>x</v>
      </c>
      <c r="AE7" s="30" t="str">
        <f t="shared" si="2"/>
        <v>x</v>
      </c>
      <c r="AF7" s="30" t="str">
        <f t="shared" si="2"/>
        <v>x</v>
      </c>
      <c r="AX7" s="30">
        <v>5</v>
      </c>
      <c r="AY7" s="30">
        <v>2</v>
      </c>
      <c r="AZ7" s="30">
        <v>1</v>
      </c>
      <c r="BA7" s="30">
        <v>2</v>
      </c>
      <c r="BB7" s="30">
        <v>2</v>
      </c>
    </row>
    <row r="8" spans="1:54" ht="40" thickTop="1" thickBot="1">
      <c r="A8" s="22">
        <v>8</v>
      </c>
      <c r="B8" s="28"/>
      <c r="C8" s="23"/>
      <c r="D8" s="23"/>
      <c r="E8" s="23"/>
      <c r="F8" s="36"/>
      <c r="G8" s="30"/>
      <c r="H8" s="30"/>
      <c r="I8" s="30"/>
      <c r="J8" s="37"/>
      <c r="K8" s="23"/>
      <c r="L8" s="23"/>
      <c r="M8" s="23"/>
      <c r="N8" s="29"/>
      <c r="P8" s="30">
        <f t="shared" si="3"/>
        <v>0</v>
      </c>
      <c r="Q8" s="30">
        <f t="shared" si="0"/>
        <v>0</v>
      </c>
      <c r="R8" s="30">
        <f t="shared" si="0"/>
        <v>0</v>
      </c>
      <c r="S8" s="30">
        <f t="shared" si="0"/>
        <v>0</v>
      </c>
      <c r="T8" s="30">
        <f t="shared" si="0"/>
        <v>1</v>
      </c>
      <c r="U8" s="30"/>
      <c r="V8" s="30">
        <f t="shared" si="4"/>
        <v>1</v>
      </c>
      <c r="W8" s="30">
        <f t="shared" si="5"/>
        <v>0</v>
      </c>
      <c r="X8" s="30">
        <f t="shared" si="6"/>
        <v>1</v>
      </c>
      <c r="Y8" s="30">
        <f t="shared" si="7"/>
        <v>0</v>
      </c>
      <c r="Z8" s="30">
        <f t="shared" si="8"/>
        <v>1</v>
      </c>
      <c r="AB8" s="30" t="str">
        <f t="shared" si="2"/>
        <v>x</v>
      </c>
      <c r="AC8" s="30" t="str">
        <f t="shared" si="2"/>
        <v/>
      </c>
      <c r="AD8" s="30" t="str">
        <f t="shared" si="2"/>
        <v>x</v>
      </c>
      <c r="AE8" s="30" t="str">
        <f t="shared" si="2"/>
        <v/>
      </c>
      <c r="AF8" s="30" t="str">
        <f t="shared" si="2"/>
        <v>x</v>
      </c>
      <c r="AX8" s="30">
        <v>2</v>
      </c>
      <c r="AY8" s="30">
        <v>2</v>
      </c>
      <c r="AZ8" s="31">
        <v>0</v>
      </c>
      <c r="BA8" s="31">
        <v>0</v>
      </c>
      <c r="BB8" s="30">
        <v>1</v>
      </c>
    </row>
    <row r="9" spans="1:54" ht="39" thickTop="1" thickBot="1">
      <c r="A9" s="71">
        <v>9</v>
      </c>
      <c r="B9" s="28"/>
      <c r="C9" s="23"/>
      <c r="D9" s="23"/>
      <c r="E9" s="23"/>
      <c r="F9" s="36"/>
      <c r="G9" s="23"/>
      <c r="H9" s="30"/>
      <c r="I9" s="30"/>
      <c r="J9" s="29"/>
      <c r="K9" s="23"/>
      <c r="L9" s="23"/>
      <c r="M9" s="23"/>
      <c r="N9" s="29"/>
    </row>
    <row r="10" spans="1:54" ht="38" thickTop="1">
      <c r="A10" s="22">
        <v>10</v>
      </c>
      <c r="B10" s="28"/>
      <c r="C10" s="23"/>
      <c r="D10" s="23"/>
      <c r="E10" s="23"/>
      <c r="F10" s="50"/>
      <c r="G10" s="30"/>
      <c r="H10" s="30"/>
      <c r="I10" s="30"/>
      <c r="J10" s="37"/>
      <c r="K10" s="23"/>
      <c r="L10" s="23"/>
      <c r="M10" s="23"/>
      <c r="N10" s="29"/>
      <c r="P10" s="96" t="s">
        <v>17</v>
      </c>
      <c r="Q10" s="97"/>
      <c r="R10" s="97"/>
      <c r="S10" s="97"/>
      <c r="T10" s="97"/>
      <c r="V10" s="97" t="s">
        <v>11</v>
      </c>
      <c r="W10" s="97"/>
      <c r="X10" s="97"/>
      <c r="Y10" s="97"/>
      <c r="Z10" s="97"/>
    </row>
    <row r="11" spans="1:54" ht="38" thickBot="1">
      <c r="B11" s="28"/>
      <c r="C11" s="23"/>
      <c r="D11" s="23"/>
      <c r="E11" s="23"/>
      <c r="F11" s="38"/>
      <c r="G11" s="39"/>
      <c r="H11" s="39"/>
      <c r="I11" s="39"/>
      <c r="J11" s="40"/>
      <c r="K11" s="23"/>
      <c r="L11" s="23"/>
      <c r="M11" s="23"/>
      <c r="N11" s="29"/>
      <c r="P11" s="30">
        <f>MAX(B11+C10+D9+E8+F7+G6+H5+I4+J3)</f>
        <v>1</v>
      </c>
      <c r="Q11" s="30">
        <f t="shared" ref="Q11:T11" si="9">MAX(C11+D10+E9+F8+G7+H6+I5+J4+K3)</f>
        <v>0</v>
      </c>
      <c r="R11" s="30">
        <f t="shared" si="9"/>
        <v>1</v>
      </c>
      <c r="S11" s="30">
        <f t="shared" si="9"/>
        <v>0</v>
      </c>
      <c r="T11" s="30">
        <f t="shared" si="9"/>
        <v>1</v>
      </c>
      <c r="V11" s="30">
        <f>MAX($F7:$J7)</f>
        <v>1</v>
      </c>
      <c r="W11" s="30">
        <f t="shared" ref="W11:Z11" si="10">MAX($F7:$J7)</f>
        <v>1</v>
      </c>
      <c r="X11" s="30">
        <f t="shared" si="10"/>
        <v>1</v>
      </c>
      <c r="Y11" s="30">
        <f t="shared" si="10"/>
        <v>1</v>
      </c>
      <c r="Z11" s="30">
        <f t="shared" si="10"/>
        <v>1</v>
      </c>
    </row>
    <row r="12" spans="1:54">
      <c r="B12" s="28"/>
      <c r="C12" s="23"/>
      <c r="D12" s="23"/>
      <c r="E12" s="23"/>
      <c r="F12" s="32"/>
      <c r="G12" s="23"/>
      <c r="H12" s="23"/>
      <c r="I12" s="23"/>
      <c r="J12" s="23"/>
      <c r="K12" s="23"/>
      <c r="L12" s="23"/>
      <c r="M12" s="23"/>
      <c r="N12" s="29"/>
      <c r="P12" s="30">
        <f t="shared" ref="P12:P15" si="11">MAX(B12+C11+D10+E9+F8+G7+H6+I5+J4)</f>
        <v>0</v>
      </c>
      <c r="Q12" s="30">
        <f t="shared" ref="Q12:Q15" si="12">MAX(C12+D11+E10+F9+G8+H7+I6+J5+K4)</f>
        <v>1</v>
      </c>
      <c r="R12" s="30">
        <f t="shared" ref="R12:R15" si="13">MAX(D12+E11+F10+G9+H8+I7+J6+K5+L4)</f>
        <v>0</v>
      </c>
      <c r="S12" s="30">
        <f t="shared" ref="S12:S15" si="14">MAX(E12+F11+G10+H9+I8+J7+K6+L5+M4)</f>
        <v>1</v>
      </c>
      <c r="T12" s="30">
        <f t="shared" ref="T12:T15" si="15">MAX(F12+G11+H10+I9+J8+K7+L6+M5+N4)</f>
        <v>0</v>
      </c>
      <c r="V12" s="30">
        <f t="shared" ref="V12:Z12" si="16">MAX($F8:$J8)</f>
        <v>0</v>
      </c>
      <c r="W12" s="30">
        <f t="shared" si="16"/>
        <v>0</v>
      </c>
      <c r="X12" s="30">
        <f t="shared" si="16"/>
        <v>0</v>
      </c>
      <c r="Y12" s="30">
        <f t="shared" si="16"/>
        <v>0</v>
      </c>
      <c r="Z12" s="30">
        <f t="shared" si="16"/>
        <v>0</v>
      </c>
    </row>
    <row r="13" spans="1:54">
      <c r="B13" s="28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9"/>
      <c r="P13" s="30">
        <f t="shared" si="11"/>
        <v>1</v>
      </c>
      <c r="Q13" s="30">
        <f t="shared" si="12"/>
        <v>0</v>
      </c>
      <c r="R13" s="30">
        <f t="shared" si="13"/>
        <v>1</v>
      </c>
      <c r="S13" s="30">
        <f t="shared" si="14"/>
        <v>0</v>
      </c>
      <c r="T13" s="30">
        <f t="shared" si="15"/>
        <v>0</v>
      </c>
      <c r="V13" s="30">
        <f t="shared" ref="V13:Z13" si="17">MAX($F9:$J9)</f>
        <v>0</v>
      </c>
      <c r="W13" s="30">
        <f t="shared" si="17"/>
        <v>0</v>
      </c>
      <c r="X13" s="30">
        <f t="shared" si="17"/>
        <v>0</v>
      </c>
      <c r="Y13" s="30">
        <f t="shared" si="17"/>
        <v>0</v>
      </c>
      <c r="Z13" s="30">
        <f t="shared" si="17"/>
        <v>0</v>
      </c>
    </row>
    <row r="14" spans="1:54">
      <c r="B14" s="28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9"/>
      <c r="P14" s="30">
        <f t="shared" si="11"/>
        <v>0</v>
      </c>
      <c r="Q14" s="30">
        <f t="shared" si="12"/>
        <v>1</v>
      </c>
      <c r="R14" s="30">
        <f t="shared" si="13"/>
        <v>0</v>
      </c>
      <c r="S14" s="30">
        <f t="shared" si="14"/>
        <v>0</v>
      </c>
      <c r="T14" s="30">
        <f t="shared" si="15"/>
        <v>0</v>
      </c>
      <c r="V14" s="30">
        <f t="shared" ref="V14:Z14" si="18">MAX($F10:$J10)</f>
        <v>0</v>
      </c>
      <c r="W14" s="30">
        <f t="shared" si="18"/>
        <v>0</v>
      </c>
      <c r="X14" s="30">
        <f t="shared" si="18"/>
        <v>0</v>
      </c>
      <c r="Y14" s="30">
        <f t="shared" si="18"/>
        <v>0</v>
      </c>
      <c r="Z14" s="30">
        <f t="shared" si="18"/>
        <v>0</v>
      </c>
    </row>
    <row r="15" spans="1:54" ht="38" thickBot="1">
      <c r="B15" s="33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5"/>
      <c r="P15" s="30">
        <f t="shared" si="11"/>
        <v>1</v>
      </c>
      <c r="Q15" s="30">
        <f t="shared" si="12"/>
        <v>0</v>
      </c>
      <c r="R15" s="30">
        <f t="shared" si="13"/>
        <v>0</v>
      </c>
      <c r="S15" s="30">
        <f t="shared" si="14"/>
        <v>0</v>
      </c>
      <c r="T15" s="30">
        <f t="shared" si="15"/>
        <v>0</v>
      </c>
      <c r="V15" s="30">
        <f t="shared" ref="V15:Z15" si="19">MAX($F11:$J11)</f>
        <v>0</v>
      </c>
      <c r="W15" s="30">
        <f t="shared" si="19"/>
        <v>0</v>
      </c>
      <c r="X15" s="30">
        <f t="shared" si="19"/>
        <v>0</v>
      </c>
      <c r="Y15" s="30">
        <f t="shared" si="19"/>
        <v>0</v>
      </c>
      <c r="Z15" s="30">
        <f t="shared" si="19"/>
        <v>0</v>
      </c>
    </row>
    <row r="27" spans="9:18" ht="38" thickBot="1">
      <c r="J27" s="44">
        <v>1</v>
      </c>
      <c r="K27" s="44">
        <v>2</v>
      </c>
      <c r="L27" s="44">
        <v>3</v>
      </c>
      <c r="M27" s="44">
        <v>4</v>
      </c>
      <c r="N27" s="44">
        <v>5</v>
      </c>
      <c r="O27" s="44">
        <v>6</v>
      </c>
      <c r="P27" s="44">
        <v>7</v>
      </c>
      <c r="Q27" s="44">
        <v>8</v>
      </c>
      <c r="R27" s="44">
        <v>9</v>
      </c>
    </row>
    <row r="28" spans="9:18">
      <c r="I28" s="45">
        <v>1</v>
      </c>
      <c r="J28" s="41">
        <v>1</v>
      </c>
      <c r="K28" s="42">
        <v>2</v>
      </c>
      <c r="L28" s="42">
        <v>3</v>
      </c>
      <c r="M28" s="42">
        <v>4</v>
      </c>
      <c r="N28" s="42">
        <v>5</v>
      </c>
      <c r="O28" s="42">
        <v>6</v>
      </c>
      <c r="P28" s="42">
        <v>7</v>
      </c>
      <c r="Q28" s="42">
        <v>8</v>
      </c>
      <c r="R28" s="43">
        <v>9</v>
      </c>
    </row>
    <row r="29" spans="9:18">
      <c r="I29" s="45">
        <v>2</v>
      </c>
      <c r="J29" s="36">
        <v>2</v>
      </c>
      <c r="K29" s="30">
        <v>4</v>
      </c>
      <c r="L29" s="30">
        <v>6</v>
      </c>
      <c r="M29" s="30">
        <v>8</v>
      </c>
      <c r="N29" s="30">
        <v>10</v>
      </c>
      <c r="O29" s="30">
        <v>12</v>
      </c>
      <c r="P29" s="30">
        <v>14</v>
      </c>
      <c r="Q29" s="30">
        <v>16</v>
      </c>
      <c r="R29" s="37">
        <v>18</v>
      </c>
    </row>
    <row r="30" spans="9:18">
      <c r="I30" s="45">
        <v>3</v>
      </c>
      <c r="J30" s="36">
        <v>3</v>
      </c>
      <c r="K30" s="30">
        <v>6</v>
      </c>
      <c r="L30" s="30">
        <v>9</v>
      </c>
      <c r="M30" s="30">
        <v>12</v>
      </c>
      <c r="N30" s="30">
        <v>15</v>
      </c>
      <c r="O30" s="30">
        <v>18</v>
      </c>
      <c r="P30" s="30">
        <v>21</v>
      </c>
      <c r="Q30" s="30">
        <v>24</v>
      </c>
      <c r="R30" s="37">
        <v>27</v>
      </c>
    </row>
    <row r="31" spans="9:18">
      <c r="I31" s="45">
        <v>4</v>
      </c>
      <c r="J31" s="36">
        <v>4</v>
      </c>
      <c r="K31" s="30">
        <v>8</v>
      </c>
      <c r="L31" s="30">
        <v>12</v>
      </c>
      <c r="M31" s="30">
        <v>16</v>
      </c>
      <c r="N31" s="30">
        <v>20</v>
      </c>
      <c r="O31" s="30">
        <v>24</v>
      </c>
      <c r="P31" s="30">
        <v>28</v>
      </c>
      <c r="Q31" s="30">
        <v>32</v>
      </c>
      <c r="R31" s="37">
        <v>36</v>
      </c>
    </row>
    <row r="32" spans="9:18">
      <c r="I32" s="45">
        <v>5</v>
      </c>
      <c r="J32" s="36">
        <v>5</v>
      </c>
      <c r="K32" s="30">
        <v>10</v>
      </c>
      <c r="L32" s="30">
        <v>15</v>
      </c>
      <c r="M32" s="30">
        <v>20</v>
      </c>
      <c r="N32" s="30">
        <v>25</v>
      </c>
      <c r="O32" s="30">
        <v>30</v>
      </c>
      <c r="P32" s="30">
        <v>35</v>
      </c>
      <c r="Q32" s="30">
        <v>40</v>
      </c>
      <c r="R32" s="37">
        <v>45</v>
      </c>
    </row>
    <row r="33" spans="9:18">
      <c r="I33" s="45">
        <v>6</v>
      </c>
      <c r="J33" s="36">
        <v>6</v>
      </c>
      <c r="K33" s="30">
        <v>12</v>
      </c>
      <c r="L33" s="30">
        <v>18</v>
      </c>
      <c r="M33" s="30">
        <v>24</v>
      </c>
      <c r="N33" s="30">
        <v>30</v>
      </c>
      <c r="O33" s="30">
        <v>36</v>
      </c>
      <c r="P33" s="30">
        <v>42</v>
      </c>
      <c r="Q33" s="30">
        <v>48</v>
      </c>
      <c r="R33" s="37">
        <v>54</v>
      </c>
    </row>
    <row r="34" spans="9:18">
      <c r="I34" s="45">
        <v>7</v>
      </c>
      <c r="J34" s="36">
        <v>7</v>
      </c>
      <c r="K34" s="30">
        <v>14</v>
      </c>
      <c r="L34" s="30">
        <v>21</v>
      </c>
      <c r="M34" s="30">
        <v>28</v>
      </c>
      <c r="N34" s="30">
        <v>35</v>
      </c>
      <c r="O34" s="30">
        <v>42</v>
      </c>
      <c r="P34" s="30">
        <v>49</v>
      </c>
      <c r="Q34" s="30">
        <v>56</v>
      </c>
      <c r="R34" s="37">
        <v>63</v>
      </c>
    </row>
    <row r="35" spans="9:18">
      <c r="I35" s="45">
        <v>8</v>
      </c>
      <c r="J35" s="36">
        <v>8</v>
      </c>
      <c r="K35" s="30">
        <v>16</v>
      </c>
      <c r="L35" s="30">
        <v>24</v>
      </c>
      <c r="M35" s="30">
        <v>32</v>
      </c>
      <c r="N35" s="30">
        <v>40</v>
      </c>
      <c r="O35" s="30">
        <v>48</v>
      </c>
      <c r="P35" s="30">
        <v>56</v>
      </c>
      <c r="Q35" s="30">
        <v>64</v>
      </c>
      <c r="R35" s="37">
        <v>72</v>
      </c>
    </row>
    <row r="36" spans="9:18" ht="38" thickBot="1">
      <c r="I36" s="45">
        <v>9</v>
      </c>
      <c r="J36" s="38">
        <v>9</v>
      </c>
      <c r="K36" s="39">
        <v>18</v>
      </c>
      <c r="L36" s="39">
        <v>27</v>
      </c>
      <c r="M36" s="39">
        <v>36</v>
      </c>
      <c r="N36" s="39">
        <v>45</v>
      </c>
      <c r="O36" s="39">
        <v>54</v>
      </c>
      <c r="P36" s="39">
        <v>63</v>
      </c>
      <c r="Q36" s="39">
        <v>72</v>
      </c>
      <c r="R36" s="40">
        <v>81</v>
      </c>
    </row>
  </sheetData>
  <mergeCells count="7">
    <mergeCell ref="AB3:AF3"/>
    <mergeCell ref="AX3:BB3"/>
    <mergeCell ref="B2:N2"/>
    <mergeCell ref="P3:T3"/>
    <mergeCell ref="V10:Z10"/>
    <mergeCell ref="V3:Z3"/>
    <mergeCell ref="P10:T10"/>
  </mergeCells>
  <conditionalFormatting sqref="F7:J8 F9 H9:I9 F10:J11">
    <cfRule type="cellIs" dxfId="37" priority="18" operator="notEqual">
      <formula>0</formula>
    </cfRule>
  </conditionalFormatting>
  <conditionalFormatting sqref="AH4">
    <cfRule type="cellIs" dxfId="36" priority="17" operator="greaterThan">
      <formula>4</formula>
    </cfRule>
  </conditionalFormatting>
  <conditionalFormatting sqref="AB4:AF8">
    <cfRule type="expression" dxfId="35" priority="12" stopIfTrue="1">
      <formula>NOT(AB4="")</formula>
    </cfRule>
  </conditionalFormatting>
  <conditionalFormatting sqref="P4:T8">
    <cfRule type="cellIs" dxfId="34" priority="7" operator="notEqual">
      <formula>0</formula>
    </cfRule>
  </conditionalFormatting>
  <conditionalFormatting sqref="P11:T15">
    <cfRule type="cellIs" dxfId="33" priority="3" operator="notEqual">
      <formula>0</formula>
    </cfRule>
  </conditionalFormatting>
  <conditionalFormatting sqref="V4:Z8">
    <cfRule type="cellIs" dxfId="32" priority="2" operator="notEqual">
      <formula>0</formula>
    </cfRule>
  </conditionalFormatting>
  <conditionalFormatting sqref="V11:Z15">
    <cfRule type="cellIs" dxfId="31" priority="1" operator="notEqual">
      <formula>0</formula>
    </cfRule>
  </conditionalFormatting>
  <hyperlinks>
    <hyperlink ref="P3" r:id="rId1" xr:uid="{EDF6601C-53A2-D040-856C-79550665A40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9CE2E-D053-114D-899C-B780EDC003C4}">
  <sheetPr codeName="Sheet4"/>
  <dimension ref="E1:AD31"/>
  <sheetViews>
    <sheetView topLeftCell="A17" zoomScale="109" zoomScaleNormal="184" workbookViewId="0">
      <selection activeCell="F19" sqref="F19"/>
    </sheetView>
  </sheetViews>
  <sheetFormatPr baseColWidth="10" defaultRowHeight="26"/>
  <cols>
    <col min="1" max="1" width="21.83203125" style="4" bestFit="1" customWidth="1"/>
    <col min="2" max="2" width="5" style="4" bestFit="1" customWidth="1"/>
    <col min="3" max="3" width="4.6640625" style="4" bestFit="1" customWidth="1"/>
    <col min="4" max="11" width="4.83203125" style="4" bestFit="1" customWidth="1"/>
    <col min="12" max="16" width="6.5" style="4" bestFit="1" customWidth="1"/>
    <col min="17" max="17" width="6.5" style="4" customWidth="1"/>
    <col min="18" max="18" width="3.1640625" style="4" bestFit="1" customWidth="1"/>
    <col min="19" max="20" width="4.83203125" style="4" bestFit="1" customWidth="1"/>
    <col min="21" max="21" width="6.5" style="4" bestFit="1" customWidth="1"/>
    <col min="22" max="22" width="20" style="4" bestFit="1" customWidth="1"/>
    <col min="23" max="23" width="8.1640625" style="4" bestFit="1" customWidth="1"/>
    <col min="24" max="24" width="6.5" style="4" bestFit="1" customWidth="1"/>
    <col min="25" max="26" width="20" style="4" bestFit="1" customWidth="1"/>
    <col min="27" max="27" width="9.83203125" style="4" bestFit="1" customWidth="1"/>
    <col min="28" max="28" width="20" style="4" bestFit="1" customWidth="1"/>
    <col min="29" max="29" width="6.5" style="4" bestFit="1" customWidth="1"/>
    <col min="30" max="30" width="20" style="4" bestFit="1" customWidth="1"/>
    <col min="31" max="16384" width="10.83203125" style="4"/>
  </cols>
  <sheetData>
    <row r="1" spans="5:30" ht="27" thickBot="1"/>
    <row r="2" spans="5:30" ht="27" thickBot="1">
      <c r="S2" s="99" t="s">
        <v>1</v>
      </c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1"/>
    </row>
    <row r="3" spans="5:30" ht="27" thickBot="1">
      <c r="E3" s="98" t="s">
        <v>0</v>
      </c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11"/>
      <c r="T3" s="4" t="s">
        <v>3</v>
      </c>
    </row>
    <row r="4" spans="5:30">
      <c r="E4" s="5">
        <v>0</v>
      </c>
      <c r="F4" s="6">
        <f>1+E4</f>
        <v>1</v>
      </c>
      <c r="G4" s="6">
        <f t="shared" ref="G4:P4" si="0">1+F4</f>
        <v>2</v>
      </c>
      <c r="H4" s="6">
        <f t="shared" si="0"/>
        <v>3</v>
      </c>
      <c r="I4" s="6">
        <f t="shared" si="0"/>
        <v>4</v>
      </c>
      <c r="J4" s="6">
        <f t="shared" si="0"/>
        <v>5</v>
      </c>
      <c r="K4" s="6">
        <f t="shared" si="0"/>
        <v>6</v>
      </c>
      <c r="L4" s="6">
        <f t="shared" si="0"/>
        <v>7</v>
      </c>
      <c r="M4" s="6">
        <f t="shared" si="0"/>
        <v>8</v>
      </c>
      <c r="N4" s="6">
        <f t="shared" si="0"/>
        <v>9</v>
      </c>
      <c r="O4" s="6">
        <f t="shared" si="0"/>
        <v>10</v>
      </c>
      <c r="P4" s="7">
        <f t="shared" si="0"/>
        <v>11</v>
      </c>
      <c r="Q4" s="11"/>
      <c r="S4" s="5">
        <v>0</v>
      </c>
      <c r="T4" s="6">
        <f>1+S4</f>
        <v>1</v>
      </c>
      <c r="U4" s="6">
        <f t="shared" ref="U4:AD4" si="1">1+T4</f>
        <v>2</v>
      </c>
      <c r="V4" s="6">
        <f t="shared" si="1"/>
        <v>3</v>
      </c>
      <c r="W4" s="6">
        <f t="shared" si="1"/>
        <v>4</v>
      </c>
      <c r="X4" s="6">
        <f t="shared" si="1"/>
        <v>5</v>
      </c>
      <c r="Y4" s="6">
        <f t="shared" si="1"/>
        <v>6</v>
      </c>
      <c r="Z4" s="6">
        <f t="shared" si="1"/>
        <v>7</v>
      </c>
      <c r="AA4" s="6">
        <f t="shared" si="1"/>
        <v>8</v>
      </c>
      <c r="AB4" s="6">
        <f t="shared" si="1"/>
        <v>9</v>
      </c>
      <c r="AC4" s="6">
        <f t="shared" si="1"/>
        <v>10</v>
      </c>
      <c r="AD4" s="7">
        <f t="shared" si="1"/>
        <v>11</v>
      </c>
    </row>
    <row r="5" spans="5:30">
      <c r="E5" s="8">
        <f xml:space="preserve"> 1+E4</f>
        <v>1</v>
      </c>
      <c r="F5" s="10">
        <f>$E5*F$4</f>
        <v>1</v>
      </c>
      <c r="G5" s="10">
        <f>$E5*G$4</f>
        <v>2</v>
      </c>
      <c r="H5" s="10">
        <f t="shared" ref="H5:P15" si="2">$E5*H$4</f>
        <v>3</v>
      </c>
      <c r="I5" s="10">
        <f t="shared" si="2"/>
        <v>4</v>
      </c>
      <c r="J5" s="10">
        <f t="shared" si="2"/>
        <v>5</v>
      </c>
      <c r="K5" s="10">
        <f t="shared" si="2"/>
        <v>6</v>
      </c>
      <c r="L5" s="10">
        <f t="shared" si="2"/>
        <v>7</v>
      </c>
      <c r="M5" s="10">
        <f t="shared" si="2"/>
        <v>8</v>
      </c>
      <c r="N5" s="10">
        <f t="shared" si="2"/>
        <v>9</v>
      </c>
      <c r="O5" s="10">
        <f t="shared" si="2"/>
        <v>10</v>
      </c>
      <c r="P5" s="10">
        <f t="shared" si="2"/>
        <v>11</v>
      </c>
      <c r="Q5" s="12"/>
      <c r="R5" s="4" t="s">
        <v>2</v>
      </c>
      <c r="S5" s="8">
        <f xml:space="preserve"> 1+S4</f>
        <v>1</v>
      </c>
      <c r="T5" s="10">
        <f>$S5/T$4</f>
        <v>1</v>
      </c>
      <c r="U5" s="10">
        <f t="shared" ref="U5:AD15" si="3">$S5/U$4</f>
        <v>0.5</v>
      </c>
      <c r="V5" s="10">
        <f t="shared" si="3"/>
        <v>0.33333333333333331</v>
      </c>
      <c r="W5" s="10">
        <f t="shared" si="3"/>
        <v>0.25</v>
      </c>
      <c r="X5" s="10">
        <f t="shared" si="3"/>
        <v>0.2</v>
      </c>
      <c r="Y5" s="10">
        <f t="shared" si="3"/>
        <v>0.16666666666666666</v>
      </c>
      <c r="Z5" s="10">
        <f t="shared" si="3"/>
        <v>0.14285714285714285</v>
      </c>
      <c r="AA5" s="10">
        <f t="shared" si="3"/>
        <v>0.125</v>
      </c>
      <c r="AB5" s="10">
        <f t="shared" si="3"/>
        <v>0.1111111111111111</v>
      </c>
      <c r="AC5" s="10">
        <f t="shared" si="3"/>
        <v>0.1</v>
      </c>
      <c r="AD5" s="10">
        <f t="shared" si="3"/>
        <v>9.0909090909090912E-2</v>
      </c>
    </row>
    <row r="6" spans="5:30">
      <c r="E6" s="8">
        <f t="shared" ref="E6:E15" si="4" xml:space="preserve"> 1+E5</f>
        <v>2</v>
      </c>
      <c r="F6" s="10">
        <f t="shared" ref="F6:G15" si="5">$E6*F$4</f>
        <v>2</v>
      </c>
      <c r="G6" s="10">
        <f t="shared" si="5"/>
        <v>4</v>
      </c>
      <c r="H6" s="10">
        <f t="shared" si="2"/>
        <v>6</v>
      </c>
      <c r="I6" s="10">
        <f t="shared" si="2"/>
        <v>8</v>
      </c>
      <c r="J6" s="10">
        <f t="shared" si="2"/>
        <v>10</v>
      </c>
      <c r="K6" s="10">
        <f t="shared" si="2"/>
        <v>12</v>
      </c>
      <c r="L6" s="10">
        <f t="shared" si="2"/>
        <v>14</v>
      </c>
      <c r="M6" s="10">
        <f t="shared" si="2"/>
        <v>16</v>
      </c>
      <c r="N6" s="10">
        <f t="shared" si="2"/>
        <v>18</v>
      </c>
      <c r="O6" s="10">
        <f t="shared" si="2"/>
        <v>20</v>
      </c>
      <c r="P6" s="10">
        <f t="shared" si="2"/>
        <v>22</v>
      </c>
      <c r="Q6" s="12"/>
      <c r="S6" s="8">
        <f t="shared" ref="S6:S15" si="6" xml:space="preserve"> 1+S5</f>
        <v>2</v>
      </c>
      <c r="T6" s="10">
        <f t="shared" ref="T6:T15" si="7">$S6/T$4</f>
        <v>2</v>
      </c>
      <c r="U6" s="10">
        <f t="shared" si="3"/>
        <v>1</v>
      </c>
      <c r="V6" s="10">
        <f t="shared" si="3"/>
        <v>0.66666666666666663</v>
      </c>
      <c r="W6" s="10">
        <f t="shared" si="3"/>
        <v>0.5</v>
      </c>
      <c r="X6" s="10">
        <f t="shared" si="3"/>
        <v>0.4</v>
      </c>
      <c r="Y6" s="10">
        <f t="shared" si="3"/>
        <v>0.33333333333333331</v>
      </c>
      <c r="Z6" s="10">
        <f t="shared" si="3"/>
        <v>0.2857142857142857</v>
      </c>
      <c r="AA6" s="10">
        <f t="shared" si="3"/>
        <v>0.25</v>
      </c>
      <c r="AB6" s="10">
        <f t="shared" si="3"/>
        <v>0.22222222222222221</v>
      </c>
      <c r="AC6" s="10">
        <f t="shared" si="3"/>
        <v>0.2</v>
      </c>
      <c r="AD6" s="10">
        <f t="shared" si="3"/>
        <v>0.18181818181818182</v>
      </c>
    </row>
    <row r="7" spans="5:30">
      <c r="E7" s="8">
        <f t="shared" si="4"/>
        <v>3</v>
      </c>
      <c r="F7" s="10">
        <f t="shared" si="5"/>
        <v>3</v>
      </c>
      <c r="G7" s="10">
        <f t="shared" si="5"/>
        <v>6</v>
      </c>
      <c r="H7" s="10">
        <f t="shared" si="2"/>
        <v>9</v>
      </c>
      <c r="I7" s="10">
        <f t="shared" si="2"/>
        <v>12</v>
      </c>
      <c r="J7" s="10">
        <f t="shared" si="2"/>
        <v>15</v>
      </c>
      <c r="K7" s="10">
        <f t="shared" si="2"/>
        <v>18</v>
      </c>
      <c r="L7" s="10">
        <f t="shared" si="2"/>
        <v>21</v>
      </c>
      <c r="M7" s="10">
        <f t="shared" si="2"/>
        <v>24</v>
      </c>
      <c r="N7" s="10">
        <f t="shared" si="2"/>
        <v>27</v>
      </c>
      <c r="O7" s="10">
        <f t="shared" si="2"/>
        <v>30</v>
      </c>
      <c r="P7" s="10">
        <f t="shared" si="2"/>
        <v>33</v>
      </c>
      <c r="Q7" s="12"/>
      <c r="S7" s="8">
        <f t="shared" si="6"/>
        <v>3</v>
      </c>
      <c r="T7" s="10">
        <f t="shared" si="7"/>
        <v>3</v>
      </c>
      <c r="U7" s="10">
        <f t="shared" si="3"/>
        <v>1.5</v>
      </c>
      <c r="V7" s="10">
        <f t="shared" si="3"/>
        <v>1</v>
      </c>
      <c r="W7" s="10">
        <f t="shared" si="3"/>
        <v>0.75</v>
      </c>
      <c r="X7" s="10">
        <f t="shared" si="3"/>
        <v>0.6</v>
      </c>
      <c r="Y7" s="10">
        <f t="shared" si="3"/>
        <v>0.5</v>
      </c>
      <c r="Z7" s="10">
        <f t="shared" si="3"/>
        <v>0.42857142857142855</v>
      </c>
      <c r="AA7" s="10">
        <f t="shared" si="3"/>
        <v>0.375</v>
      </c>
      <c r="AB7" s="10">
        <f t="shared" si="3"/>
        <v>0.33333333333333331</v>
      </c>
      <c r="AC7" s="10">
        <f t="shared" si="3"/>
        <v>0.3</v>
      </c>
      <c r="AD7" s="10">
        <f t="shared" si="3"/>
        <v>0.27272727272727271</v>
      </c>
    </row>
    <row r="8" spans="5:30">
      <c r="E8" s="8">
        <f t="shared" si="4"/>
        <v>4</v>
      </c>
      <c r="F8" s="10">
        <f t="shared" si="5"/>
        <v>4</v>
      </c>
      <c r="G8" s="10">
        <f t="shared" si="5"/>
        <v>8</v>
      </c>
      <c r="H8" s="10">
        <f t="shared" si="2"/>
        <v>12</v>
      </c>
      <c r="I8" s="10">
        <f t="shared" si="2"/>
        <v>16</v>
      </c>
      <c r="J8" s="10">
        <f t="shared" si="2"/>
        <v>20</v>
      </c>
      <c r="K8" s="10">
        <f t="shared" si="2"/>
        <v>24</v>
      </c>
      <c r="L8" s="10">
        <f t="shared" si="2"/>
        <v>28</v>
      </c>
      <c r="M8" s="10">
        <f t="shared" si="2"/>
        <v>32</v>
      </c>
      <c r="N8" s="10">
        <f t="shared" si="2"/>
        <v>36</v>
      </c>
      <c r="O8" s="10">
        <f t="shared" si="2"/>
        <v>40</v>
      </c>
      <c r="P8" s="10">
        <f t="shared" si="2"/>
        <v>44</v>
      </c>
      <c r="Q8" s="12"/>
      <c r="S8" s="8">
        <f t="shared" si="6"/>
        <v>4</v>
      </c>
      <c r="T8" s="10">
        <f t="shared" si="7"/>
        <v>4</v>
      </c>
      <c r="U8" s="10">
        <f t="shared" si="3"/>
        <v>2</v>
      </c>
      <c r="V8" s="10">
        <f t="shared" si="3"/>
        <v>1.3333333333333333</v>
      </c>
      <c r="W8" s="10">
        <f t="shared" si="3"/>
        <v>1</v>
      </c>
      <c r="X8" s="10">
        <f t="shared" si="3"/>
        <v>0.8</v>
      </c>
      <c r="Y8" s="10">
        <f t="shared" si="3"/>
        <v>0.66666666666666663</v>
      </c>
      <c r="Z8" s="10">
        <f t="shared" si="3"/>
        <v>0.5714285714285714</v>
      </c>
      <c r="AA8" s="10">
        <f t="shared" si="3"/>
        <v>0.5</v>
      </c>
      <c r="AB8" s="10">
        <f t="shared" si="3"/>
        <v>0.44444444444444442</v>
      </c>
      <c r="AC8" s="10">
        <f t="shared" si="3"/>
        <v>0.4</v>
      </c>
      <c r="AD8" s="10">
        <f t="shared" si="3"/>
        <v>0.36363636363636365</v>
      </c>
    </row>
    <row r="9" spans="5:30">
      <c r="E9" s="8">
        <f t="shared" si="4"/>
        <v>5</v>
      </c>
      <c r="F9" s="10">
        <f t="shared" si="5"/>
        <v>5</v>
      </c>
      <c r="G9" s="10">
        <f t="shared" si="5"/>
        <v>10</v>
      </c>
      <c r="H9" s="10">
        <f t="shared" si="2"/>
        <v>15</v>
      </c>
      <c r="I9" s="10">
        <f t="shared" si="2"/>
        <v>20</v>
      </c>
      <c r="J9" s="10">
        <f t="shared" si="2"/>
        <v>25</v>
      </c>
      <c r="K9" s="10">
        <f t="shared" si="2"/>
        <v>30</v>
      </c>
      <c r="L9" s="10">
        <f t="shared" si="2"/>
        <v>35</v>
      </c>
      <c r="M9" s="10">
        <f t="shared" si="2"/>
        <v>40</v>
      </c>
      <c r="N9" s="10">
        <f t="shared" si="2"/>
        <v>45</v>
      </c>
      <c r="O9" s="10">
        <f t="shared" si="2"/>
        <v>50</v>
      </c>
      <c r="P9" s="10">
        <f t="shared" si="2"/>
        <v>55</v>
      </c>
      <c r="Q9" s="12"/>
      <c r="S9" s="8">
        <f t="shared" si="6"/>
        <v>5</v>
      </c>
      <c r="T9" s="10">
        <f t="shared" si="7"/>
        <v>5</v>
      </c>
      <c r="U9" s="10">
        <f t="shared" si="3"/>
        <v>2.5</v>
      </c>
      <c r="V9" s="10">
        <f t="shared" si="3"/>
        <v>1.6666666666666667</v>
      </c>
      <c r="W9" s="10">
        <f t="shared" si="3"/>
        <v>1.25</v>
      </c>
      <c r="X9" s="10">
        <f t="shared" si="3"/>
        <v>1</v>
      </c>
      <c r="Y9" s="10">
        <f t="shared" si="3"/>
        <v>0.83333333333333337</v>
      </c>
      <c r="Z9" s="10">
        <f t="shared" si="3"/>
        <v>0.7142857142857143</v>
      </c>
      <c r="AA9" s="10">
        <f t="shared" si="3"/>
        <v>0.625</v>
      </c>
      <c r="AB9" s="10">
        <f t="shared" si="3"/>
        <v>0.55555555555555558</v>
      </c>
      <c r="AC9" s="10">
        <f t="shared" si="3"/>
        <v>0.5</v>
      </c>
      <c r="AD9" s="10">
        <f t="shared" si="3"/>
        <v>0.45454545454545453</v>
      </c>
    </row>
    <row r="10" spans="5:30">
      <c r="E10" s="8">
        <f t="shared" si="4"/>
        <v>6</v>
      </c>
      <c r="F10" s="10">
        <f t="shared" si="5"/>
        <v>6</v>
      </c>
      <c r="G10" s="10">
        <f t="shared" si="5"/>
        <v>12</v>
      </c>
      <c r="H10" s="10">
        <f t="shared" si="2"/>
        <v>18</v>
      </c>
      <c r="I10" s="10">
        <f t="shared" si="2"/>
        <v>24</v>
      </c>
      <c r="J10" s="10">
        <f t="shared" si="2"/>
        <v>30</v>
      </c>
      <c r="K10" s="10">
        <f t="shared" si="2"/>
        <v>36</v>
      </c>
      <c r="L10" s="10">
        <f t="shared" si="2"/>
        <v>42</v>
      </c>
      <c r="M10" s="10">
        <f t="shared" si="2"/>
        <v>48</v>
      </c>
      <c r="N10" s="10">
        <f t="shared" si="2"/>
        <v>54</v>
      </c>
      <c r="O10" s="10">
        <f t="shared" si="2"/>
        <v>60</v>
      </c>
      <c r="P10" s="10">
        <f t="shared" si="2"/>
        <v>66</v>
      </c>
      <c r="Q10" s="12"/>
      <c r="S10" s="8">
        <f t="shared" si="6"/>
        <v>6</v>
      </c>
      <c r="T10" s="10">
        <f t="shared" si="7"/>
        <v>6</v>
      </c>
      <c r="U10" s="10">
        <f t="shared" si="3"/>
        <v>3</v>
      </c>
      <c r="V10" s="10">
        <f t="shared" si="3"/>
        <v>2</v>
      </c>
      <c r="W10" s="10">
        <f t="shared" si="3"/>
        <v>1.5</v>
      </c>
      <c r="X10" s="10">
        <f t="shared" si="3"/>
        <v>1.2</v>
      </c>
      <c r="Y10" s="10">
        <f t="shared" si="3"/>
        <v>1</v>
      </c>
      <c r="Z10" s="10">
        <f t="shared" si="3"/>
        <v>0.8571428571428571</v>
      </c>
      <c r="AA10" s="10">
        <f t="shared" si="3"/>
        <v>0.75</v>
      </c>
      <c r="AB10" s="10">
        <f t="shared" si="3"/>
        <v>0.66666666666666663</v>
      </c>
      <c r="AC10" s="10">
        <f t="shared" si="3"/>
        <v>0.6</v>
      </c>
      <c r="AD10" s="10">
        <f t="shared" si="3"/>
        <v>0.54545454545454541</v>
      </c>
    </row>
    <row r="11" spans="5:30">
      <c r="E11" s="8">
        <f t="shared" si="4"/>
        <v>7</v>
      </c>
      <c r="F11" s="10">
        <f t="shared" si="5"/>
        <v>7</v>
      </c>
      <c r="G11" s="10">
        <f t="shared" si="5"/>
        <v>14</v>
      </c>
      <c r="H11" s="10">
        <f t="shared" si="2"/>
        <v>21</v>
      </c>
      <c r="I11" s="10">
        <f t="shared" si="2"/>
        <v>28</v>
      </c>
      <c r="J11" s="10">
        <f t="shared" si="2"/>
        <v>35</v>
      </c>
      <c r="K11" s="10">
        <f t="shared" si="2"/>
        <v>42</v>
      </c>
      <c r="L11" s="10">
        <f t="shared" si="2"/>
        <v>49</v>
      </c>
      <c r="M11" s="10">
        <f t="shared" si="2"/>
        <v>56</v>
      </c>
      <c r="N11" s="10">
        <f t="shared" si="2"/>
        <v>63</v>
      </c>
      <c r="O11" s="10">
        <f t="shared" si="2"/>
        <v>70</v>
      </c>
      <c r="P11" s="10">
        <f t="shared" si="2"/>
        <v>77</v>
      </c>
      <c r="Q11" s="12"/>
      <c r="S11" s="8">
        <f t="shared" si="6"/>
        <v>7</v>
      </c>
      <c r="T11" s="10">
        <f t="shared" si="7"/>
        <v>7</v>
      </c>
      <c r="U11" s="10">
        <f t="shared" si="3"/>
        <v>3.5</v>
      </c>
      <c r="V11" s="10">
        <f t="shared" si="3"/>
        <v>2.3333333333333335</v>
      </c>
      <c r="W11" s="10">
        <f t="shared" si="3"/>
        <v>1.75</v>
      </c>
      <c r="X11" s="10">
        <f t="shared" si="3"/>
        <v>1.4</v>
      </c>
      <c r="Y11" s="10">
        <f t="shared" si="3"/>
        <v>1.1666666666666667</v>
      </c>
      <c r="Z11" s="10">
        <f t="shared" si="3"/>
        <v>1</v>
      </c>
      <c r="AA11" s="10">
        <f t="shared" si="3"/>
        <v>0.875</v>
      </c>
      <c r="AB11" s="10">
        <f t="shared" si="3"/>
        <v>0.77777777777777779</v>
      </c>
      <c r="AC11" s="10">
        <f t="shared" si="3"/>
        <v>0.7</v>
      </c>
      <c r="AD11" s="10">
        <f t="shared" si="3"/>
        <v>0.63636363636363635</v>
      </c>
    </row>
    <row r="12" spans="5:30">
      <c r="E12" s="8">
        <f t="shared" si="4"/>
        <v>8</v>
      </c>
      <c r="F12" s="10">
        <f t="shared" si="5"/>
        <v>8</v>
      </c>
      <c r="G12" s="10">
        <f t="shared" si="5"/>
        <v>16</v>
      </c>
      <c r="H12" s="10">
        <f t="shared" si="2"/>
        <v>24</v>
      </c>
      <c r="I12" s="10">
        <f t="shared" si="2"/>
        <v>32</v>
      </c>
      <c r="J12" s="10">
        <f t="shared" si="2"/>
        <v>40</v>
      </c>
      <c r="K12" s="10">
        <f t="shared" si="2"/>
        <v>48</v>
      </c>
      <c r="L12" s="10">
        <f t="shared" si="2"/>
        <v>56</v>
      </c>
      <c r="M12" s="10">
        <f t="shared" si="2"/>
        <v>64</v>
      </c>
      <c r="N12" s="10">
        <f t="shared" si="2"/>
        <v>72</v>
      </c>
      <c r="O12" s="10">
        <f t="shared" si="2"/>
        <v>80</v>
      </c>
      <c r="P12" s="10">
        <f t="shared" si="2"/>
        <v>88</v>
      </c>
      <c r="Q12" s="12"/>
      <c r="S12" s="8">
        <f t="shared" si="6"/>
        <v>8</v>
      </c>
      <c r="T12" s="10">
        <f t="shared" si="7"/>
        <v>8</v>
      </c>
      <c r="U12" s="10">
        <f t="shared" si="3"/>
        <v>4</v>
      </c>
      <c r="V12" s="10">
        <f t="shared" si="3"/>
        <v>2.6666666666666665</v>
      </c>
      <c r="W12" s="10">
        <f t="shared" si="3"/>
        <v>2</v>
      </c>
      <c r="X12" s="10">
        <f t="shared" si="3"/>
        <v>1.6</v>
      </c>
      <c r="Y12" s="10">
        <f t="shared" si="3"/>
        <v>1.3333333333333333</v>
      </c>
      <c r="Z12" s="10">
        <f t="shared" si="3"/>
        <v>1.1428571428571428</v>
      </c>
      <c r="AA12" s="10">
        <f t="shared" si="3"/>
        <v>1</v>
      </c>
      <c r="AB12" s="10">
        <f t="shared" si="3"/>
        <v>0.88888888888888884</v>
      </c>
      <c r="AC12" s="10">
        <f t="shared" si="3"/>
        <v>0.8</v>
      </c>
      <c r="AD12" s="10">
        <f t="shared" si="3"/>
        <v>0.72727272727272729</v>
      </c>
    </row>
    <row r="13" spans="5:30">
      <c r="E13" s="8">
        <f t="shared" si="4"/>
        <v>9</v>
      </c>
      <c r="F13" s="10">
        <f t="shared" si="5"/>
        <v>9</v>
      </c>
      <c r="G13" s="10">
        <f t="shared" si="5"/>
        <v>18</v>
      </c>
      <c r="H13" s="10">
        <f t="shared" si="2"/>
        <v>27</v>
      </c>
      <c r="I13" s="10">
        <f t="shared" si="2"/>
        <v>36</v>
      </c>
      <c r="J13" s="10">
        <f t="shared" si="2"/>
        <v>45</v>
      </c>
      <c r="K13" s="10">
        <f t="shared" si="2"/>
        <v>54</v>
      </c>
      <c r="L13" s="10">
        <f t="shared" si="2"/>
        <v>63</v>
      </c>
      <c r="M13" s="10">
        <f t="shared" si="2"/>
        <v>72</v>
      </c>
      <c r="N13" s="10">
        <f t="shared" si="2"/>
        <v>81</v>
      </c>
      <c r="O13" s="10">
        <f t="shared" si="2"/>
        <v>90</v>
      </c>
      <c r="P13" s="10">
        <f t="shared" si="2"/>
        <v>99</v>
      </c>
      <c r="Q13" s="12"/>
      <c r="S13" s="8">
        <f t="shared" si="6"/>
        <v>9</v>
      </c>
      <c r="T13" s="10">
        <f t="shared" si="7"/>
        <v>9</v>
      </c>
      <c r="U13" s="10">
        <f t="shared" si="3"/>
        <v>4.5</v>
      </c>
      <c r="V13" s="10">
        <f t="shared" si="3"/>
        <v>3</v>
      </c>
      <c r="W13" s="10">
        <f t="shared" si="3"/>
        <v>2.25</v>
      </c>
      <c r="X13" s="10">
        <f t="shared" si="3"/>
        <v>1.8</v>
      </c>
      <c r="Y13" s="10">
        <f t="shared" si="3"/>
        <v>1.5</v>
      </c>
      <c r="Z13" s="10">
        <f t="shared" si="3"/>
        <v>1.2857142857142858</v>
      </c>
      <c r="AA13" s="10">
        <f t="shared" si="3"/>
        <v>1.125</v>
      </c>
      <c r="AB13" s="10">
        <f t="shared" si="3"/>
        <v>1</v>
      </c>
      <c r="AC13" s="10">
        <f t="shared" si="3"/>
        <v>0.9</v>
      </c>
      <c r="AD13" s="10">
        <f t="shared" si="3"/>
        <v>0.81818181818181823</v>
      </c>
    </row>
    <row r="14" spans="5:30">
      <c r="E14" s="8">
        <f t="shared" si="4"/>
        <v>10</v>
      </c>
      <c r="F14" s="10">
        <f t="shared" si="5"/>
        <v>10</v>
      </c>
      <c r="G14" s="10">
        <f t="shared" si="5"/>
        <v>20</v>
      </c>
      <c r="H14" s="10">
        <f t="shared" si="2"/>
        <v>30</v>
      </c>
      <c r="I14" s="10">
        <f t="shared" si="2"/>
        <v>40</v>
      </c>
      <c r="J14" s="10">
        <f t="shared" si="2"/>
        <v>50</v>
      </c>
      <c r="K14" s="10">
        <f t="shared" si="2"/>
        <v>60</v>
      </c>
      <c r="L14" s="10">
        <f t="shared" si="2"/>
        <v>70</v>
      </c>
      <c r="M14" s="10">
        <f t="shared" si="2"/>
        <v>80</v>
      </c>
      <c r="N14" s="10">
        <f t="shared" si="2"/>
        <v>90</v>
      </c>
      <c r="O14" s="10">
        <f t="shared" si="2"/>
        <v>100</v>
      </c>
      <c r="P14" s="10">
        <f t="shared" si="2"/>
        <v>110</v>
      </c>
      <c r="Q14" s="12"/>
      <c r="S14" s="8">
        <f t="shared" si="6"/>
        <v>10</v>
      </c>
      <c r="T14" s="10">
        <f t="shared" si="7"/>
        <v>10</v>
      </c>
      <c r="U14" s="10">
        <f t="shared" si="3"/>
        <v>5</v>
      </c>
      <c r="V14" s="10">
        <f t="shared" si="3"/>
        <v>3.3333333333333335</v>
      </c>
      <c r="W14" s="10">
        <f t="shared" si="3"/>
        <v>2.5</v>
      </c>
      <c r="X14" s="10">
        <f t="shared" si="3"/>
        <v>2</v>
      </c>
      <c r="Y14" s="10">
        <f t="shared" si="3"/>
        <v>1.6666666666666667</v>
      </c>
      <c r="Z14" s="10">
        <f t="shared" si="3"/>
        <v>1.4285714285714286</v>
      </c>
      <c r="AA14" s="10">
        <f t="shared" si="3"/>
        <v>1.25</v>
      </c>
      <c r="AB14" s="10">
        <f t="shared" si="3"/>
        <v>1.1111111111111112</v>
      </c>
      <c r="AC14" s="10">
        <f t="shared" si="3"/>
        <v>1</v>
      </c>
      <c r="AD14" s="10">
        <f t="shared" si="3"/>
        <v>0.90909090909090906</v>
      </c>
    </row>
    <row r="15" spans="5:30" ht="27" thickBot="1">
      <c r="E15" s="9">
        <f t="shared" si="4"/>
        <v>11</v>
      </c>
      <c r="F15" s="10">
        <f t="shared" si="5"/>
        <v>11</v>
      </c>
      <c r="G15" s="10">
        <f t="shared" si="5"/>
        <v>22</v>
      </c>
      <c r="H15" s="10">
        <f t="shared" si="2"/>
        <v>33</v>
      </c>
      <c r="I15" s="10">
        <f t="shared" si="2"/>
        <v>44</v>
      </c>
      <c r="J15" s="10">
        <f t="shared" si="2"/>
        <v>55</v>
      </c>
      <c r="K15" s="10">
        <f t="shared" si="2"/>
        <v>66</v>
      </c>
      <c r="L15" s="10">
        <f t="shared" si="2"/>
        <v>77</v>
      </c>
      <c r="M15" s="10">
        <f t="shared" si="2"/>
        <v>88</v>
      </c>
      <c r="N15" s="10">
        <f t="shared" si="2"/>
        <v>99</v>
      </c>
      <c r="O15" s="10">
        <f t="shared" si="2"/>
        <v>110</v>
      </c>
      <c r="P15" s="10">
        <f t="shared" si="2"/>
        <v>121</v>
      </c>
      <c r="Q15" s="12"/>
      <c r="S15" s="9">
        <f t="shared" si="6"/>
        <v>11</v>
      </c>
      <c r="T15" s="10">
        <f t="shared" si="7"/>
        <v>11</v>
      </c>
      <c r="U15" s="10">
        <f t="shared" si="3"/>
        <v>5.5</v>
      </c>
      <c r="V15" s="10">
        <f t="shared" si="3"/>
        <v>3.6666666666666665</v>
      </c>
      <c r="W15" s="10">
        <f t="shared" si="3"/>
        <v>2.75</v>
      </c>
      <c r="X15" s="10">
        <f t="shared" si="3"/>
        <v>2.2000000000000002</v>
      </c>
      <c r="Y15" s="10">
        <f t="shared" si="3"/>
        <v>1.8333333333333333</v>
      </c>
      <c r="Z15" s="10">
        <f t="shared" si="3"/>
        <v>1.5714285714285714</v>
      </c>
      <c r="AA15" s="10">
        <f t="shared" si="3"/>
        <v>1.375</v>
      </c>
      <c r="AB15" s="10">
        <f t="shared" si="3"/>
        <v>1.2222222222222223</v>
      </c>
      <c r="AC15" s="10">
        <f t="shared" si="3"/>
        <v>1.1000000000000001</v>
      </c>
      <c r="AD15" s="10">
        <f t="shared" si="3"/>
        <v>1</v>
      </c>
    </row>
    <row r="18" spans="5:17">
      <c r="F18" s="102" t="s">
        <v>32</v>
      </c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2"/>
    </row>
    <row r="19" spans="5:17">
      <c r="E19" s="4">
        <v>1</v>
      </c>
      <c r="F19" s="4">
        <f>E19+1</f>
        <v>2</v>
      </c>
      <c r="G19" s="4">
        <f t="shared" ref="G19:Q19" si="8">F19+1</f>
        <v>3</v>
      </c>
      <c r="H19" s="4">
        <f t="shared" si="8"/>
        <v>4</v>
      </c>
      <c r="I19" s="4">
        <f t="shared" si="8"/>
        <v>5</v>
      </c>
      <c r="J19" s="4">
        <f t="shared" si="8"/>
        <v>6</v>
      </c>
      <c r="K19" s="4">
        <f t="shared" si="8"/>
        <v>7</v>
      </c>
      <c r="L19" s="4">
        <f t="shared" si="8"/>
        <v>8</v>
      </c>
      <c r="M19" s="4">
        <f t="shared" si="8"/>
        <v>9</v>
      </c>
      <c r="N19" s="4">
        <f>M19+1</f>
        <v>10</v>
      </c>
      <c r="O19" s="4">
        <f t="shared" si="8"/>
        <v>11</v>
      </c>
      <c r="P19" s="4">
        <f t="shared" si="8"/>
        <v>12</v>
      </c>
      <c r="Q19" s="4">
        <f t="shared" si="8"/>
        <v>13</v>
      </c>
    </row>
    <row r="20" spans="5:17">
      <c r="E20" s="4">
        <f>E19+1</f>
        <v>2</v>
      </c>
      <c r="F20" s="19">
        <f>$E20 * F$19</f>
        <v>4</v>
      </c>
      <c r="G20" s="19">
        <f t="shared" ref="G20:Q31" si="9">$E20 * G$19</f>
        <v>6</v>
      </c>
      <c r="H20" s="19">
        <f t="shared" si="9"/>
        <v>8</v>
      </c>
      <c r="I20" s="19">
        <f t="shared" si="9"/>
        <v>10</v>
      </c>
      <c r="J20" s="19">
        <f t="shared" si="9"/>
        <v>12</v>
      </c>
      <c r="K20" s="19">
        <f t="shared" si="9"/>
        <v>14</v>
      </c>
      <c r="L20" s="19">
        <f t="shared" si="9"/>
        <v>16</v>
      </c>
      <c r="M20" s="19">
        <f t="shared" si="9"/>
        <v>18</v>
      </c>
      <c r="N20" s="19">
        <f t="shared" si="9"/>
        <v>20</v>
      </c>
      <c r="O20" s="19">
        <f t="shared" si="9"/>
        <v>22</v>
      </c>
      <c r="P20" s="19">
        <f t="shared" si="9"/>
        <v>24</v>
      </c>
      <c r="Q20" s="19">
        <f t="shared" si="9"/>
        <v>26</v>
      </c>
    </row>
    <row r="21" spans="5:17">
      <c r="E21" s="4">
        <f t="shared" ref="E21:E30" si="10">E20+1</f>
        <v>3</v>
      </c>
      <c r="F21" s="19">
        <f t="shared" ref="F21:F31" si="11">$E21 * F$19</f>
        <v>6</v>
      </c>
      <c r="G21" s="19">
        <f t="shared" si="9"/>
        <v>9</v>
      </c>
      <c r="H21" s="19">
        <f t="shared" si="9"/>
        <v>12</v>
      </c>
      <c r="I21" s="19">
        <f t="shared" si="9"/>
        <v>15</v>
      </c>
      <c r="J21" s="19">
        <f t="shared" si="9"/>
        <v>18</v>
      </c>
      <c r="K21" s="19">
        <f t="shared" si="9"/>
        <v>21</v>
      </c>
      <c r="L21" s="19">
        <f t="shared" si="9"/>
        <v>24</v>
      </c>
      <c r="M21" s="19">
        <f t="shared" si="9"/>
        <v>27</v>
      </c>
      <c r="N21" s="19">
        <f t="shared" si="9"/>
        <v>30</v>
      </c>
      <c r="O21" s="19">
        <f t="shared" si="9"/>
        <v>33</v>
      </c>
      <c r="P21" s="19">
        <f t="shared" si="9"/>
        <v>36</v>
      </c>
      <c r="Q21" s="19">
        <f t="shared" si="9"/>
        <v>39</v>
      </c>
    </row>
    <row r="22" spans="5:17">
      <c r="E22" s="4">
        <f t="shared" si="10"/>
        <v>4</v>
      </c>
      <c r="F22" s="19">
        <f t="shared" si="11"/>
        <v>8</v>
      </c>
      <c r="G22" s="19">
        <f t="shared" si="9"/>
        <v>12</v>
      </c>
      <c r="H22" s="19">
        <f t="shared" si="9"/>
        <v>16</v>
      </c>
      <c r="I22" s="19">
        <f t="shared" si="9"/>
        <v>20</v>
      </c>
      <c r="J22" s="19">
        <f t="shared" si="9"/>
        <v>24</v>
      </c>
      <c r="K22" s="19">
        <f t="shared" si="9"/>
        <v>28</v>
      </c>
      <c r="L22" s="19">
        <f t="shared" si="9"/>
        <v>32</v>
      </c>
      <c r="M22" s="19">
        <f t="shared" si="9"/>
        <v>36</v>
      </c>
      <c r="N22" s="19">
        <f t="shared" si="9"/>
        <v>40</v>
      </c>
      <c r="O22" s="19">
        <f t="shared" si="9"/>
        <v>44</v>
      </c>
      <c r="P22" s="19">
        <f t="shared" si="9"/>
        <v>48</v>
      </c>
      <c r="Q22" s="19">
        <f t="shared" si="9"/>
        <v>52</v>
      </c>
    </row>
    <row r="23" spans="5:17">
      <c r="E23" s="4">
        <f t="shared" si="10"/>
        <v>5</v>
      </c>
      <c r="F23" s="19">
        <f t="shared" si="11"/>
        <v>10</v>
      </c>
      <c r="G23" s="19">
        <f t="shared" si="9"/>
        <v>15</v>
      </c>
      <c r="H23" s="19">
        <f t="shared" si="9"/>
        <v>20</v>
      </c>
      <c r="I23" s="19">
        <f t="shared" si="9"/>
        <v>25</v>
      </c>
      <c r="J23" s="19">
        <f t="shared" si="9"/>
        <v>30</v>
      </c>
      <c r="K23" s="19">
        <f t="shared" si="9"/>
        <v>35</v>
      </c>
      <c r="L23" s="19">
        <f t="shared" si="9"/>
        <v>40</v>
      </c>
      <c r="M23" s="19">
        <f t="shared" si="9"/>
        <v>45</v>
      </c>
      <c r="N23" s="19">
        <f t="shared" si="9"/>
        <v>50</v>
      </c>
      <c r="O23" s="19">
        <f t="shared" si="9"/>
        <v>55</v>
      </c>
      <c r="P23" s="19">
        <f t="shared" si="9"/>
        <v>60</v>
      </c>
      <c r="Q23" s="19">
        <f t="shared" si="9"/>
        <v>65</v>
      </c>
    </row>
    <row r="24" spans="5:17">
      <c r="E24" s="4">
        <f t="shared" si="10"/>
        <v>6</v>
      </c>
      <c r="F24" s="19">
        <f t="shared" si="11"/>
        <v>12</v>
      </c>
      <c r="G24" s="19">
        <f t="shared" si="9"/>
        <v>18</v>
      </c>
      <c r="H24" s="19">
        <f t="shared" si="9"/>
        <v>24</v>
      </c>
      <c r="I24" s="19">
        <f t="shared" si="9"/>
        <v>30</v>
      </c>
      <c r="J24" s="19">
        <f t="shared" si="9"/>
        <v>36</v>
      </c>
      <c r="K24" s="19">
        <f t="shared" si="9"/>
        <v>42</v>
      </c>
      <c r="L24" s="19">
        <f t="shared" si="9"/>
        <v>48</v>
      </c>
      <c r="M24" s="19">
        <f t="shared" si="9"/>
        <v>54</v>
      </c>
      <c r="N24" s="19">
        <f t="shared" si="9"/>
        <v>60</v>
      </c>
      <c r="O24" s="19">
        <f t="shared" si="9"/>
        <v>66</v>
      </c>
      <c r="P24" s="19">
        <f t="shared" si="9"/>
        <v>72</v>
      </c>
      <c r="Q24" s="19">
        <f t="shared" si="9"/>
        <v>78</v>
      </c>
    </row>
    <row r="25" spans="5:17">
      <c r="E25" s="4">
        <f t="shared" si="10"/>
        <v>7</v>
      </c>
      <c r="F25" s="19">
        <f t="shared" si="11"/>
        <v>14</v>
      </c>
      <c r="G25" s="19">
        <f t="shared" si="9"/>
        <v>21</v>
      </c>
      <c r="H25" s="19">
        <f t="shared" si="9"/>
        <v>28</v>
      </c>
      <c r="I25" s="19">
        <f t="shared" si="9"/>
        <v>35</v>
      </c>
      <c r="J25" s="19">
        <f t="shared" si="9"/>
        <v>42</v>
      </c>
      <c r="K25" s="19">
        <f t="shared" si="9"/>
        <v>49</v>
      </c>
      <c r="L25" s="19">
        <f t="shared" si="9"/>
        <v>56</v>
      </c>
      <c r="M25" s="19">
        <f t="shared" si="9"/>
        <v>63</v>
      </c>
      <c r="N25" s="19">
        <f t="shared" si="9"/>
        <v>70</v>
      </c>
      <c r="O25" s="19">
        <f t="shared" si="9"/>
        <v>77</v>
      </c>
      <c r="P25" s="19">
        <f t="shared" si="9"/>
        <v>84</v>
      </c>
      <c r="Q25" s="19">
        <f t="shared" si="9"/>
        <v>91</v>
      </c>
    </row>
    <row r="26" spans="5:17">
      <c r="E26" s="4">
        <f t="shared" si="10"/>
        <v>8</v>
      </c>
      <c r="F26" s="19">
        <f t="shared" si="11"/>
        <v>16</v>
      </c>
      <c r="G26" s="19">
        <f t="shared" si="9"/>
        <v>24</v>
      </c>
      <c r="H26" s="19">
        <f t="shared" si="9"/>
        <v>32</v>
      </c>
      <c r="I26" s="19">
        <f t="shared" si="9"/>
        <v>40</v>
      </c>
      <c r="J26" s="19">
        <f t="shared" si="9"/>
        <v>48</v>
      </c>
      <c r="K26" s="19">
        <f t="shared" si="9"/>
        <v>56</v>
      </c>
      <c r="L26" s="19">
        <f t="shared" si="9"/>
        <v>64</v>
      </c>
      <c r="M26" s="19">
        <f t="shared" si="9"/>
        <v>72</v>
      </c>
      <c r="N26" s="19">
        <f t="shared" si="9"/>
        <v>80</v>
      </c>
      <c r="O26" s="19">
        <f t="shared" si="9"/>
        <v>88</v>
      </c>
      <c r="P26" s="19">
        <f t="shared" si="9"/>
        <v>96</v>
      </c>
      <c r="Q26" s="19">
        <f t="shared" si="9"/>
        <v>104</v>
      </c>
    </row>
    <row r="27" spans="5:17">
      <c r="E27" s="4">
        <f t="shared" si="10"/>
        <v>9</v>
      </c>
      <c r="F27" s="19">
        <f t="shared" si="11"/>
        <v>18</v>
      </c>
      <c r="G27" s="19">
        <f t="shared" si="9"/>
        <v>27</v>
      </c>
      <c r="H27" s="19">
        <f t="shared" si="9"/>
        <v>36</v>
      </c>
      <c r="I27" s="19">
        <f t="shared" si="9"/>
        <v>45</v>
      </c>
      <c r="J27" s="19">
        <f t="shared" si="9"/>
        <v>54</v>
      </c>
      <c r="K27" s="19">
        <f t="shared" si="9"/>
        <v>63</v>
      </c>
      <c r="L27" s="19">
        <f t="shared" si="9"/>
        <v>72</v>
      </c>
      <c r="M27" s="19">
        <f t="shared" si="9"/>
        <v>81</v>
      </c>
      <c r="N27" s="19">
        <f t="shared" si="9"/>
        <v>90</v>
      </c>
      <c r="O27" s="19">
        <f t="shared" si="9"/>
        <v>99</v>
      </c>
      <c r="P27" s="19">
        <f t="shared" si="9"/>
        <v>108</v>
      </c>
      <c r="Q27" s="19">
        <f t="shared" si="9"/>
        <v>117</v>
      </c>
    </row>
    <row r="28" spans="5:17">
      <c r="E28" s="4">
        <f t="shared" si="10"/>
        <v>10</v>
      </c>
      <c r="F28" s="19">
        <f t="shared" si="11"/>
        <v>20</v>
      </c>
      <c r="G28" s="19">
        <f t="shared" si="9"/>
        <v>30</v>
      </c>
      <c r="H28" s="19">
        <f t="shared" si="9"/>
        <v>40</v>
      </c>
      <c r="I28" s="19">
        <f t="shared" si="9"/>
        <v>50</v>
      </c>
      <c r="J28" s="19">
        <f t="shared" si="9"/>
        <v>60</v>
      </c>
      <c r="K28" s="19">
        <f t="shared" si="9"/>
        <v>70</v>
      </c>
      <c r="L28" s="19">
        <f t="shared" si="9"/>
        <v>80</v>
      </c>
      <c r="M28" s="19">
        <f t="shared" si="9"/>
        <v>90</v>
      </c>
      <c r="N28" s="19">
        <f t="shared" si="9"/>
        <v>100</v>
      </c>
      <c r="O28" s="19">
        <f t="shared" si="9"/>
        <v>110</v>
      </c>
      <c r="P28" s="19">
        <f t="shared" si="9"/>
        <v>120</v>
      </c>
      <c r="Q28" s="19">
        <f t="shared" si="9"/>
        <v>130</v>
      </c>
    </row>
    <row r="29" spans="5:17">
      <c r="E29" s="4">
        <f>E28+1</f>
        <v>11</v>
      </c>
      <c r="F29" s="19">
        <f t="shared" si="11"/>
        <v>22</v>
      </c>
      <c r="G29" s="19">
        <f t="shared" si="9"/>
        <v>33</v>
      </c>
      <c r="H29" s="19">
        <f t="shared" si="9"/>
        <v>44</v>
      </c>
      <c r="I29" s="19">
        <f t="shared" si="9"/>
        <v>55</v>
      </c>
      <c r="J29" s="19">
        <f t="shared" si="9"/>
        <v>66</v>
      </c>
      <c r="K29" s="19">
        <f t="shared" si="9"/>
        <v>77</v>
      </c>
      <c r="L29" s="19">
        <f t="shared" si="9"/>
        <v>88</v>
      </c>
      <c r="M29" s="19">
        <f t="shared" si="9"/>
        <v>99</v>
      </c>
      <c r="N29" s="19">
        <f t="shared" si="9"/>
        <v>110</v>
      </c>
      <c r="O29" s="19">
        <f t="shared" si="9"/>
        <v>121</v>
      </c>
      <c r="P29" s="19">
        <f t="shared" si="9"/>
        <v>132</v>
      </c>
      <c r="Q29" s="19">
        <f t="shared" si="9"/>
        <v>143</v>
      </c>
    </row>
    <row r="30" spans="5:17">
      <c r="E30" s="4">
        <f t="shared" si="10"/>
        <v>12</v>
      </c>
      <c r="F30" s="19">
        <f t="shared" si="11"/>
        <v>24</v>
      </c>
      <c r="G30" s="19">
        <f t="shared" si="9"/>
        <v>36</v>
      </c>
      <c r="H30" s="19">
        <f t="shared" si="9"/>
        <v>48</v>
      </c>
      <c r="I30" s="19">
        <f t="shared" si="9"/>
        <v>60</v>
      </c>
      <c r="J30" s="19">
        <f t="shared" si="9"/>
        <v>72</v>
      </c>
      <c r="K30" s="19">
        <f t="shared" si="9"/>
        <v>84</v>
      </c>
      <c r="L30" s="19">
        <f t="shared" si="9"/>
        <v>96</v>
      </c>
      <c r="M30" s="19">
        <f t="shared" si="9"/>
        <v>108</v>
      </c>
      <c r="N30" s="19">
        <f t="shared" si="9"/>
        <v>120</v>
      </c>
      <c r="O30" s="19">
        <f t="shared" si="9"/>
        <v>132</v>
      </c>
      <c r="P30" s="19">
        <f t="shared" si="9"/>
        <v>144</v>
      </c>
      <c r="Q30" s="19">
        <f t="shared" si="9"/>
        <v>156</v>
      </c>
    </row>
    <row r="31" spans="5:17">
      <c r="E31" s="4">
        <f>E30+1</f>
        <v>13</v>
      </c>
      <c r="F31" s="19">
        <f t="shared" si="11"/>
        <v>26</v>
      </c>
      <c r="G31" s="19">
        <f t="shared" si="9"/>
        <v>39</v>
      </c>
      <c r="H31" s="19">
        <f t="shared" si="9"/>
        <v>52</v>
      </c>
      <c r="I31" s="19">
        <f t="shared" si="9"/>
        <v>65</v>
      </c>
      <c r="J31" s="19">
        <f t="shared" si="9"/>
        <v>78</v>
      </c>
      <c r="K31" s="19">
        <f t="shared" si="9"/>
        <v>91</v>
      </c>
      <c r="L31" s="19">
        <f t="shared" si="9"/>
        <v>104</v>
      </c>
      <c r="M31" s="19">
        <f t="shared" si="9"/>
        <v>117</v>
      </c>
      <c r="N31" s="19">
        <f t="shared" si="9"/>
        <v>130</v>
      </c>
      <c r="O31" s="19">
        <f t="shared" si="9"/>
        <v>143</v>
      </c>
      <c r="P31" s="19">
        <f t="shared" si="9"/>
        <v>156</v>
      </c>
      <c r="Q31" s="19">
        <f t="shared" si="9"/>
        <v>169</v>
      </c>
    </row>
  </sheetData>
  <mergeCells count="3">
    <mergeCell ref="E3:P3"/>
    <mergeCell ref="S2:AD2"/>
    <mergeCell ref="F18:Q18"/>
  </mergeCells>
  <conditionalFormatting sqref="F5:P15">
    <cfRule type="expression" dxfId="30" priority="2">
      <formula>ISODD(F5)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8EE33-EF8F-EA4B-AC85-464C5C45C750}">
  <sheetPr codeName="Sheet6"/>
  <dimension ref="A1:AN23"/>
  <sheetViews>
    <sheetView topLeftCell="D4" zoomScale="107" zoomScaleNormal="100" workbookViewId="0">
      <selection activeCell="C9" sqref="C9"/>
    </sheetView>
  </sheetViews>
  <sheetFormatPr baseColWidth="10" defaultColWidth="8.83203125" defaultRowHeight="20" customHeight="1"/>
  <cols>
    <col min="1" max="16384" width="8.83203125" style="48"/>
  </cols>
  <sheetData>
    <row r="1" spans="1:40" ht="20" customHeight="1"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</row>
    <row r="2" spans="1:40" ht="20" customHeight="1">
      <c r="A2" s="52">
        <v>0</v>
      </c>
      <c r="B2" s="51">
        <v>0</v>
      </c>
      <c r="C2" s="51">
        <v>0</v>
      </c>
      <c r="D2" s="51">
        <v>0</v>
      </c>
      <c r="E2" s="51">
        <v>0</v>
      </c>
      <c r="F2" s="51">
        <v>0</v>
      </c>
      <c r="G2" s="51">
        <v>0</v>
      </c>
      <c r="H2" s="51">
        <v>0</v>
      </c>
      <c r="I2" s="51">
        <v>0</v>
      </c>
      <c r="J2" s="51">
        <v>0</v>
      </c>
      <c r="K2" s="51">
        <v>0</v>
      </c>
      <c r="L2" s="51">
        <v>0</v>
      </c>
      <c r="M2" s="51">
        <v>0</v>
      </c>
      <c r="N2" s="51">
        <v>0</v>
      </c>
      <c r="O2" s="51">
        <v>0</v>
      </c>
      <c r="P2" s="51">
        <v>0</v>
      </c>
      <c r="Q2" s="51">
        <v>0</v>
      </c>
      <c r="R2" s="51">
        <v>0</v>
      </c>
      <c r="S2" s="51">
        <v>0</v>
      </c>
      <c r="T2" s="51">
        <v>0</v>
      </c>
      <c r="U2" s="51">
        <v>1</v>
      </c>
      <c r="V2" s="51">
        <v>0</v>
      </c>
      <c r="W2" s="51">
        <v>0</v>
      </c>
      <c r="X2" s="51">
        <v>0</v>
      </c>
      <c r="Y2" s="51">
        <v>0</v>
      </c>
      <c r="Z2" s="51">
        <v>0</v>
      </c>
      <c r="AA2" s="51">
        <v>0</v>
      </c>
      <c r="AB2" s="51">
        <v>0</v>
      </c>
      <c r="AC2" s="51">
        <v>0</v>
      </c>
      <c r="AD2" s="51">
        <v>0</v>
      </c>
      <c r="AE2" s="51">
        <v>0</v>
      </c>
      <c r="AF2" s="51">
        <v>0</v>
      </c>
      <c r="AG2" s="51">
        <v>0</v>
      </c>
      <c r="AH2" s="51">
        <v>0</v>
      </c>
      <c r="AI2" s="51">
        <v>0</v>
      </c>
      <c r="AJ2" s="51">
        <v>0</v>
      </c>
      <c r="AK2" s="51">
        <v>0</v>
      </c>
      <c r="AL2" s="51">
        <v>0</v>
      </c>
      <c r="AM2" s="51">
        <v>0</v>
      </c>
      <c r="AN2" s="51">
        <v>0</v>
      </c>
    </row>
    <row r="3" spans="1:40" ht="20" customHeight="1">
      <c r="A3" s="52">
        <v>1</v>
      </c>
      <c r="B3" s="51">
        <v>0</v>
      </c>
      <c r="C3" s="51">
        <v>0</v>
      </c>
      <c r="D3" s="51">
        <v>0</v>
      </c>
      <c r="E3" s="51">
        <v>0</v>
      </c>
      <c r="F3" s="51">
        <v>0</v>
      </c>
      <c r="G3" s="51">
        <v>0</v>
      </c>
      <c r="H3" s="51">
        <v>0</v>
      </c>
      <c r="I3" s="51">
        <v>0</v>
      </c>
      <c r="J3" s="51">
        <v>0</v>
      </c>
      <c r="K3" s="51">
        <v>0</v>
      </c>
      <c r="L3" s="51">
        <v>0</v>
      </c>
      <c r="M3" s="51">
        <v>0</v>
      </c>
      <c r="N3" s="51">
        <v>0</v>
      </c>
      <c r="O3" s="51">
        <v>0</v>
      </c>
      <c r="P3" s="51">
        <v>0</v>
      </c>
      <c r="Q3" s="51">
        <v>0</v>
      </c>
      <c r="R3" s="51">
        <v>0</v>
      </c>
      <c r="S3" s="51">
        <v>0</v>
      </c>
      <c r="T3" s="51">
        <f t="shared" ref="N3:W18" si="0">IF(IF(S2="",0,S2)+IF(U2="",0,U2)=0,"",IF(S2="",0,S2)+IF(U2="",0,U2))</f>
        <v>1</v>
      </c>
      <c r="U3" s="51" t="str">
        <f t="shared" si="0"/>
        <v/>
      </c>
      <c r="V3" s="51">
        <f t="shared" si="0"/>
        <v>1</v>
      </c>
      <c r="W3" s="51">
        <v>0</v>
      </c>
      <c r="X3" s="51">
        <v>0</v>
      </c>
      <c r="Y3" s="51">
        <v>0</v>
      </c>
      <c r="Z3" s="51">
        <v>0</v>
      </c>
      <c r="AA3" s="51">
        <v>0</v>
      </c>
      <c r="AB3" s="51">
        <v>0</v>
      </c>
      <c r="AC3" s="51">
        <v>0</v>
      </c>
      <c r="AD3" s="51">
        <v>0</v>
      </c>
      <c r="AE3" s="51">
        <v>0</v>
      </c>
      <c r="AF3" s="51">
        <v>0</v>
      </c>
      <c r="AG3" s="51">
        <v>0</v>
      </c>
      <c r="AH3" s="51">
        <v>0</v>
      </c>
      <c r="AI3" s="51">
        <v>0</v>
      </c>
      <c r="AJ3" s="51">
        <v>0</v>
      </c>
      <c r="AK3" s="51">
        <v>0</v>
      </c>
      <c r="AL3" s="51">
        <v>0</v>
      </c>
      <c r="AM3" s="51">
        <v>0</v>
      </c>
      <c r="AN3" s="51">
        <v>0</v>
      </c>
    </row>
    <row r="4" spans="1:40" ht="20" customHeight="1">
      <c r="A4" s="52">
        <v>2</v>
      </c>
      <c r="B4" s="51">
        <v>0</v>
      </c>
      <c r="C4" s="51">
        <v>0</v>
      </c>
      <c r="D4" s="51">
        <v>0</v>
      </c>
      <c r="E4" s="51">
        <v>0</v>
      </c>
      <c r="F4" s="51">
        <v>0</v>
      </c>
      <c r="G4" s="51">
        <v>0</v>
      </c>
      <c r="H4" s="51">
        <v>0</v>
      </c>
      <c r="I4" s="51">
        <v>0</v>
      </c>
      <c r="J4" s="51">
        <v>0</v>
      </c>
      <c r="K4" s="51">
        <v>0</v>
      </c>
      <c r="L4" s="51">
        <v>0</v>
      </c>
      <c r="M4" s="51">
        <v>0</v>
      </c>
      <c r="N4" s="51">
        <v>0</v>
      </c>
      <c r="O4" s="51">
        <v>0</v>
      </c>
      <c r="P4" s="51">
        <v>0</v>
      </c>
      <c r="Q4" s="51">
        <v>0</v>
      </c>
      <c r="R4" s="51">
        <v>0</v>
      </c>
      <c r="S4" s="51">
        <f t="shared" si="0"/>
        <v>1</v>
      </c>
      <c r="T4" s="51" t="str">
        <f t="shared" si="0"/>
        <v/>
      </c>
      <c r="U4" s="51">
        <f t="shared" si="0"/>
        <v>2</v>
      </c>
      <c r="V4" s="51" t="str">
        <f t="shared" si="0"/>
        <v/>
      </c>
      <c r="W4" s="51">
        <f t="shared" si="0"/>
        <v>1</v>
      </c>
      <c r="X4" s="51">
        <v>0</v>
      </c>
      <c r="Y4" s="51">
        <v>0</v>
      </c>
      <c r="Z4" s="51">
        <v>0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>
        <v>0</v>
      </c>
      <c r="AG4" s="51">
        <v>0</v>
      </c>
      <c r="AH4" s="51">
        <v>0</v>
      </c>
      <c r="AI4" s="51">
        <v>0</v>
      </c>
      <c r="AJ4" s="51">
        <v>0</v>
      </c>
      <c r="AK4" s="51">
        <v>0</v>
      </c>
      <c r="AL4" s="51">
        <v>0</v>
      </c>
      <c r="AM4" s="51">
        <v>0</v>
      </c>
      <c r="AN4" s="51">
        <v>0</v>
      </c>
    </row>
    <row r="5" spans="1:40" ht="20" customHeight="1">
      <c r="A5" s="52">
        <v>3</v>
      </c>
      <c r="B5" s="51">
        <v>0</v>
      </c>
      <c r="C5" s="51">
        <v>0</v>
      </c>
      <c r="D5" s="51">
        <v>0</v>
      </c>
      <c r="E5" s="51">
        <v>0</v>
      </c>
      <c r="F5" s="51">
        <v>0</v>
      </c>
      <c r="G5" s="51">
        <v>0</v>
      </c>
      <c r="H5" s="51">
        <v>0</v>
      </c>
      <c r="I5" s="51">
        <v>0</v>
      </c>
      <c r="J5" s="51">
        <v>0</v>
      </c>
      <c r="K5" s="51">
        <v>0</v>
      </c>
      <c r="L5" s="51">
        <v>0</v>
      </c>
      <c r="M5" s="51">
        <v>0</v>
      </c>
      <c r="N5" s="51">
        <v>0</v>
      </c>
      <c r="O5" s="51">
        <v>0</v>
      </c>
      <c r="P5" s="51">
        <v>0</v>
      </c>
      <c r="Q5" s="51">
        <v>0</v>
      </c>
      <c r="R5" s="51">
        <f t="shared" si="0"/>
        <v>1</v>
      </c>
      <c r="S5" s="51" t="str">
        <f t="shared" si="0"/>
        <v/>
      </c>
      <c r="T5" s="51">
        <f t="shared" si="0"/>
        <v>3</v>
      </c>
      <c r="U5" s="51" t="str">
        <f t="shared" si="0"/>
        <v/>
      </c>
      <c r="V5" s="51">
        <f t="shared" ref="V5:AJ21" si="1">IF(IF(U4="",0,U4)+IF(W4="",0,W4)=0,"",IF(U4="",0,U4)+IF(W4="",0,W4))</f>
        <v>3</v>
      </c>
      <c r="W5" s="51" t="str">
        <f t="shared" si="1"/>
        <v/>
      </c>
      <c r="X5" s="51">
        <f t="shared" si="1"/>
        <v>1</v>
      </c>
      <c r="Y5" s="51">
        <v>0</v>
      </c>
      <c r="Z5" s="51">
        <v>0</v>
      </c>
      <c r="AA5" s="51">
        <v>0</v>
      </c>
      <c r="AB5" s="51">
        <v>0</v>
      </c>
      <c r="AC5" s="51">
        <v>0</v>
      </c>
      <c r="AD5" s="51">
        <v>0</v>
      </c>
      <c r="AE5" s="51">
        <v>0</v>
      </c>
      <c r="AF5" s="51">
        <v>0</v>
      </c>
      <c r="AG5" s="51">
        <v>0</v>
      </c>
      <c r="AH5" s="51">
        <v>0</v>
      </c>
      <c r="AI5" s="51">
        <v>0</v>
      </c>
      <c r="AJ5" s="51">
        <v>0</v>
      </c>
      <c r="AK5" s="51">
        <v>0</v>
      </c>
      <c r="AL5" s="51">
        <v>0</v>
      </c>
      <c r="AM5" s="51">
        <v>0</v>
      </c>
      <c r="AN5" s="51">
        <v>0</v>
      </c>
    </row>
    <row r="6" spans="1:40" ht="20" customHeight="1">
      <c r="A6" s="52">
        <v>4</v>
      </c>
      <c r="B6" s="51">
        <v>0</v>
      </c>
      <c r="C6" s="51">
        <v>0</v>
      </c>
      <c r="D6" s="51">
        <v>0</v>
      </c>
      <c r="E6" s="51">
        <v>0</v>
      </c>
      <c r="F6" s="51">
        <v>0</v>
      </c>
      <c r="G6" s="51">
        <v>0</v>
      </c>
      <c r="H6" s="51">
        <v>0</v>
      </c>
      <c r="I6" s="51">
        <v>0</v>
      </c>
      <c r="J6" s="51">
        <v>0</v>
      </c>
      <c r="K6" s="51">
        <v>0</v>
      </c>
      <c r="L6" s="51">
        <v>0</v>
      </c>
      <c r="M6" s="51">
        <v>0</v>
      </c>
      <c r="N6" s="51">
        <v>0</v>
      </c>
      <c r="O6" s="51">
        <v>0</v>
      </c>
      <c r="P6" s="51">
        <v>0</v>
      </c>
      <c r="Q6" s="51">
        <f t="shared" si="0"/>
        <v>1</v>
      </c>
      <c r="R6" s="51" t="str">
        <f t="shared" si="0"/>
        <v/>
      </c>
      <c r="S6" s="51">
        <f t="shared" si="0"/>
        <v>4</v>
      </c>
      <c r="T6" s="51" t="str">
        <f t="shared" si="0"/>
        <v/>
      </c>
      <c r="U6" s="51">
        <f t="shared" si="0"/>
        <v>6</v>
      </c>
      <c r="V6" s="51" t="str">
        <f t="shared" si="1"/>
        <v/>
      </c>
      <c r="W6" s="51">
        <f t="shared" si="1"/>
        <v>4</v>
      </c>
      <c r="X6" s="51" t="str">
        <f t="shared" si="1"/>
        <v/>
      </c>
      <c r="Y6" s="51">
        <f t="shared" si="1"/>
        <v>1</v>
      </c>
      <c r="Z6" s="51">
        <v>0</v>
      </c>
      <c r="AA6" s="51">
        <v>0</v>
      </c>
      <c r="AB6" s="51">
        <v>0</v>
      </c>
      <c r="AC6" s="51">
        <v>0</v>
      </c>
      <c r="AD6" s="51">
        <v>0</v>
      </c>
      <c r="AE6" s="51">
        <v>0</v>
      </c>
      <c r="AF6" s="51">
        <v>0</v>
      </c>
      <c r="AG6" s="51">
        <v>0</v>
      </c>
      <c r="AH6" s="51">
        <v>0</v>
      </c>
      <c r="AI6" s="51">
        <v>0</v>
      </c>
      <c r="AJ6" s="51">
        <v>0</v>
      </c>
      <c r="AK6" s="51">
        <v>0</v>
      </c>
      <c r="AL6" s="51">
        <v>0</v>
      </c>
      <c r="AM6" s="51">
        <v>0</v>
      </c>
      <c r="AN6" s="51">
        <v>0</v>
      </c>
    </row>
    <row r="7" spans="1:40" ht="20" customHeight="1">
      <c r="A7" s="52">
        <v>5</v>
      </c>
      <c r="B7" s="51">
        <v>0</v>
      </c>
      <c r="C7" s="51">
        <v>0</v>
      </c>
      <c r="D7" s="51">
        <v>0</v>
      </c>
      <c r="E7" s="51">
        <v>0</v>
      </c>
      <c r="F7" s="51">
        <v>0</v>
      </c>
      <c r="G7" s="51">
        <v>0</v>
      </c>
      <c r="H7" s="51">
        <v>0</v>
      </c>
      <c r="I7" s="51">
        <v>0</v>
      </c>
      <c r="J7" s="51">
        <v>0</v>
      </c>
      <c r="K7" s="51">
        <v>0</v>
      </c>
      <c r="L7" s="51">
        <v>0</v>
      </c>
      <c r="M7" s="51">
        <v>0</v>
      </c>
      <c r="N7" s="51">
        <v>0</v>
      </c>
      <c r="O7" s="51">
        <v>0</v>
      </c>
      <c r="P7" s="51">
        <f t="shared" si="0"/>
        <v>1</v>
      </c>
      <c r="Q7" s="51" t="str">
        <f t="shared" si="0"/>
        <v/>
      </c>
      <c r="R7" s="51">
        <f t="shared" si="0"/>
        <v>5</v>
      </c>
      <c r="S7" s="51" t="str">
        <f t="shared" si="0"/>
        <v/>
      </c>
      <c r="T7" s="51">
        <f t="shared" si="0"/>
        <v>10</v>
      </c>
      <c r="U7" s="51" t="str">
        <f t="shared" si="0"/>
        <v/>
      </c>
      <c r="V7" s="51">
        <f t="shared" si="1"/>
        <v>10</v>
      </c>
      <c r="W7" s="51" t="str">
        <f t="shared" si="1"/>
        <v/>
      </c>
      <c r="X7" s="51">
        <f t="shared" si="1"/>
        <v>5</v>
      </c>
      <c r="Y7" s="51" t="str">
        <f t="shared" si="1"/>
        <v/>
      </c>
      <c r="Z7" s="51">
        <f t="shared" si="1"/>
        <v>1</v>
      </c>
      <c r="AA7" s="51">
        <v>0</v>
      </c>
      <c r="AB7" s="51">
        <v>0</v>
      </c>
      <c r="AC7" s="51">
        <v>0</v>
      </c>
      <c r="AD7" s="51">
        <v>0</v>
      </c>
      <c r="AE7" s="51">
        <v>0</v>
      </c>
      <c r="AF7" s="51">
        <v>0</v>
      </c>
      <c r="AG7" s="51">
        <v>0</v>
      </c>
      <c r="AH7" s="51">
        <v>0</v>
      </c>
      <c r="AI7" s="51">
        <v>0</v>
      </c>
      <c r="AJ7" s="51">
        <v>0</v>
      </c>
      <c r="AK7" s="51">
        <v>0</v>
      </c>
      <c r="AL7" s="51">
        <v>0</v>
      </c>
      <c r="AM7" s="51">
        <v>0</v>
      </c>
      <c r="AN7" s="51">
        <v>0</v>
      </c>
    </row>
    <row r="8" spans="1:40" ht="20" customHeight="1">
      <c r="A8" s="52">
        <v>6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  <c r="G8" s="51">
        <v>0</v>
      </c>
      <c r="H8" s="51">
        <v>0</v>
      </c>
      <c r="I8" s="51">
        <v>0</v>
      </c>
      <c r="J8" s="51">
        <v>0</v>
      </c>
      <c r="K8" s="51">
        <v>0</v>
      </c>
      <c r="L8" s="51">
        <v>0</v>
      </c>
      <c r="M8" s="51">
        <v>0</v>
      </c>
      <c r="N8" s="51">
        <v>0</v>
      </c>
      <c r="O8" s="51">
        <f t="shared" si="0"/>
        <v>1</v>
      </c>
      <c r="P8" s="51" t="str">
        <f t="shared" si="0"/>
        <v/>
      </c>
      <c r="Q8" s="51">
        <f t="shared" si="0"/>
        <v>6</v>
      </c>
      <c r="R8" s="51" t="str">
        <f t="shared" si="0"/>
        <v/>
      </c>
      <c r="S8" s="51">
        <f t="shared" si="0"/>
        <v>15</v>
      </c>
      <c r="T8" s="51" t="str">
        <f t="shared" si="0"/>
        <v/>
      </c>
      <c r="U8" s="51">
        <f t="shared" si="0"/>
        <v>20</v>
      </c>
      <c r="V8" s="51" t="str">
        <f t="shared" si="1"/>
        <v/>
      </c>
      <c r="W8" s="51">
        <f t="shared" si="1"/>
        <v>15</v>
      </c>
      <c r="X8" s="51" t="str">
        <f t="shared" si="1"/>
        <v/>
      </c>
      <c r="Y8" s="51">
        <f t="shared" si="1"/>
        <v>6</v>
      </c>
      <c r="Z8" s="51" t="str">
        <f t="shared" si="1"/>
        <v/>
      </c>
      <c r="AA8" s="51">
        <f t="shared" si="1"/>
        <v>1</v>
      </c>
      <c r="AB8" s="51">
        <v>0</v>
      </c>
      <c r="AC8" s="51">
        <v>0</v>
      </c>
      <c r="AD8" s="51">
        <v>0</v>
      </c>
      <c r="AE8" s="51">
        <v>0</v>
      </c>
      <c r="AF8" s="51">
        <v>0</v>
      </c>
      <c r="AG8" s="51">
        <v>0</v>
      </c>
      <c r="AH8" s="51">
        <v>0</v>
      </c>
      <c r="AI8" s="51">
        <v>0</v>
      </c>
      <c r="AJ8" s="51">
        <v>0</v>
      </c>
      <c r="AK8" s="51">
        <v>0</v>
      </c>
      <c r="AL8" s="51">
        <v>0</v>
      </c>
      <c r="AM8" s="51">
        <v>0</v>
      </c>
      <c r="AN8" s="51">
        <v>0</v>
      </c>
    </row>
    <row r="9" spans="1:40" ht="20" customHeight="1">
      <c r="A9" s="52">
        <v>7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  <c r="G9" s="51">
        <v>0</v>
      </c>
      <c r="H9" s="51">
        <v>0</v>
      </c>
      <c r="I9" s="51">
        <v>0</v>
      </c>
      <c r="J9" s="51">
        <v>0</v>
      </c>
      <c r="K9" s="51">
        <v>0</v>
      </c>
      <c r="L9" s="51">
        <v>0</v>
      </c>
      <c r="M9" s="51">
        <v>0</v>
      </c>
      <c r="N9" s="51">
        <f t="shared" si="0"/>
        <v>1</v>
      </c>
      <c r="O9" s="51" t="str">
        <f t="shared" si="0"/>
        <v/>
      </c>
      <c r="P9" s="51">
        <f t="shared" si="0"/>
        <v>7</v>
      </c>
      <c r="Q9" s="51" t="str">
        <f t="shared" si="0"/>
        <v/>
      </c>
      <c r="R9" s="51">
        <f t="shared" si="0"/>
        <v>21</v>
      </c>
      <c r="S9" s="51" t="str">
        <f t="shared" si="0"/>
        <v/>
      </c>
      <c r="T9" s="51">
        <f t="shared" si="0"/>
        <v>35</v>
      </c>
      <c r="U9" s="51" t="str">
        <f t="shared" si="0"/>
        <v/>
      </c>
      <c r="V9" s="51">
        <f t="shared" si="1"/>
        <v>35</v>
      </c>
      <c r="W9" s="51" t="str">
        <f t="shared" si="1"/>
        <v/>
      </c>
      <c r="X9" s="51">
        <f t="shared" si="1"/>
        <v>21</v>
      </c>
      <c r="Y9" s="51" t="str">
        <f t="shared" si="1"/>
        <v/>
      </c>
      <c r="Z9" s="51">
        <f t="shared" si="1"/>
        <v>7</v>
      </c>
      <c r="AA9" s="51" t="str">
        <f t="shared" si="1"/>
        <v/>
      </c>
      <c r="AB9" s="51">
        <f t="shared" si="1"/>
        <v>1</v>
      </c>
      <c r="AC9" s="51">
        <v>0</v>
      </c>
      <c r="AD9" s="51">
        <v>0</v>
      </c>
      <c r="AE9" s="51">
        <v>0</v>
      </c>
      <c r="AF9" s="51">
        <v>0</v>
      </c>
      <c r="AG9" s="51">
        <v>0</v>
      </c>
      <c r="AH9" s="51">
        <v>0</v>
      </c>
      <c r="AI9" s="51">
        <v>0</v>
      </c>
      <c r="AJ9" s="51">
        <v>0</v>
      </c>
      <c r="AK9" s="51">
        <v>0</v>
      </c>
      <c r="AL9" s="51">
        <v>0</v>
      </c>
      <c r="AM9" s="51">
        <v>0</v>
      </c>
      <c r="AN9" s="51">
        <v>0</v>
      </c>
    </row>
    <row r="10" spans="1:40" ht="20" customHeight="1">
      <c r="A10" s="52">
        <v>8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  <c r="G10" s="51">
        <v>0</v>
      </c>
      <c r="H10" s="51">
        <v>0</v>
      </c>
      <c r="I10" s="51">
        <v>0</v>
      </c>
      <c r="J10" s="51">
        <v>0</v>
      </c>
      <c r="K10" s="51">
        <v>0</v>
      </c>
      <c r="L10" s="51">
        <v>0</v>
      </c>
      <c r="M10" s="51">
        <f t="shared" ref="M10:M21" si="2">IF(IF(L9="",0,L9)+IF(N9="",0,N9)=0,"",IF(L9="",0,L9)+IF(N9="",0,N9))</f>
        <v>1</v>
      </c>
      <c r="N10" s="51" t="str">
        <f t="shared" si="0"/>
        <v/>
      </c>
      <c r="O10" s="51">
        <f t="shared" si="0"/>
        <v>8</v>
      </c>
      <c r="P10" s="51" t="str">
        <f t="shared" si="0"/>
        <v/>
      </c>
      <c r="Q10" s="51">
        <f t="shared" si="0"/>
        <v>28</v>
      </c>
      <c r="R10" s="51" t="str">
        <f t="shared" si="0"/>
        <v/>
      </c>
      <c r="S10" s="51">
        <f t="shared" si="0"/>
        <v>56</v>
      </c>
      <c r="T10" s="51" t="str">
        <f t="shared" si="0"/>
        <v/>
      </c>
      <c r="U10" s="51">
        <f t="shared" si="0"/>
        <v>70</v>
      </c>
      <c r="V10" s="51" t="str">
        <f t="shared" si="1"/>
        <v/>
      </c>
      <c r="W10" s="51">
        <f t="shared" si="1"/>
        <v>56</v>
      </c>
      <c r="X10" s="51" t="str">
        <f t="shared" si="1"/>
        <v/>
      </c>
      <c r="Y10" s="51">
        <f t="shared" si="1"/>
        <v>28</v>
      </c>
      <c r="Z10" s="51" t="str">
        <f t="shared" si="1"/>
        <v/>
      </c>
      <c r="AA10" s="51">
        <f t="shared" si="1"/>
        <v>8</v>
      </c>
      <c r="AB10" s="51" t="str">
        <f t="shared" si="1"/>
        <v/>
      </c>
      <c r="AC10" s="51">
        <f t="shared" si="1"/>
        <v>1</v>
      </c>
      <c r="AD10" s="51">
        <v>0</v>
      </c>
      <c r="AE10" s="51">
        <v>0</v>
      </c>
      <c r="AF10" s="51">
        <v>0</v>
      </c>
      <c r="AG10" s="51">
        <v>0</v>
      </c>
      <c r="AH10" s="51">
        <v>0</v>
      </c>
      <c r="AI10" s="51">
        <v>0</v>
      </c>
      <c r="AJ10" s="51">
        <v>0</v>
      </c>
      <c r="AK10" s="51">
        <v>0</v>
      </c>
      <c r="AL10" s="51">
        <v>0</v>
      </c>
      <c r="AM10" s="51">
        <v>0</v>
      </c>
      <c r="AN10" s="51">
        <v>0</v>
      </c>
    </row>
    <row r="11" spans="1:40" ht="20" customHeight="1">
      <c r="A11" s="52">
        <v>9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  <c r="G11" s="51">
        <v>0</v>
      </c>
      <c r="H11" s="51">
        <v>0</v>
      </c>
      <c r="I11" s="51">
        <v>0</v>
      </c>
      <c r="J11" s="51">
        <v>0</v>
      </c>
      <c r="K11" s="51">
        <v>0</v>
      </c>
      <c r="L11" s="51">
        <v>1</v>
      </c>
      <c r="M11" s="51" t="str">
        <f t="shared" si="2"/>
        <v/>
      </c>
      <c r="N11" s="51">
        <f t="shared" ref="N11:N21" si="3">IF(IF(M10="",0,M10)+IF(O10="",0,O10)=0,"",IF(M10="",0,M10)+IF(O10="",0,O10))</f>
        <v>9</v>
      </c>
      <c r="O11" s="51" t="str">
        <f t="shared" si="0"/>
        <v/>
      </c>
      <c r="P11" s="51">
        <f t="shared" si="0"/>
        <v>36</v>
      </c>
      <c r="Q11" s="51" t="str">
        <f t="shared" si="0"/>
        <v/>
      </c>
      <c r="R11" s="51">
        <f t="shared" si="0"/>
        <v>84</v>
      </c>
      <c r="S11" s="51" t="str">
        <f t="shared" si="0"/>
        <v/>
      </c>
      <c r="T11" s="51">
        <f t="shared" si="0"/>
        <v>126</v>
      </c>
      <c r="U11" s="51" t="str">
        <f t="shared" si="0"/>
        <v/>
      </c>
      <c r="V11" s="51">
        <f t="shared" si="1"/>
        <v>126</v>
      </c>
      <c r="W11" s="51" t="str">
        <f t="shared" si="1"/>
        <v/>
      </c>
      <c r="X11" s="51">
        <f t="shared" si="1"/>
        <v>84</v>
      </c>
      <c r="Y11" s="51" t="str">
        <f t="shared" si="1"/>
        <v/>
      </c>
      <c r="Z11" s="51">
        <f t="shared" si="1"/>
        <v>36</v>
      </c>
      <c r="AA11" s="51" t="str">
        <f t="shared" si="1"/>
        <v/>
      </c>
      <c r="AB11" s="51">
        <f t="shared" si="1"/>
        <v>9</v>
      </c>
      <c r="AC11" s="51" t="str">
        <f t="shared" si="1"/>
        <v/>
      </c>
      <c r="AD11" s="51">
        <f t="shared" ref="AD11:AD21" si="4">IF(IF(AC10="",0,AC10)+IF(AE10="",0,AE10)=0,"",IF(AC10="",0,AC10)+IF(AE10="",0,AE10))</f>
        <v>1</v>
      </c>
      <c r="AE11" s="51">
        <v>0</v>
      </c>
      <c r="AF11" s="51">
        <v>0</v>
      </c>
      <c r="AG11" s="51">
        <v>0</v>
      </c>
      <c r="AH11" s="51">
        <v>0</v>
      </c>
      <c r="AI11" s="51">
        <v>0</v>
      </c>
      <c r="AJ11" s="51">
        <v>0</v>
      </c>
      <c r="AK11" s="51">
        <v>0</v>
      </c>
      <c r="AL11" s="51">
        <v>0</v>
      </c>
      <c r="AM11" s="51">
        <v>0</v>
      </c>
      <c r="AN11" s="51">
        <v>0</v>
      </c>
    </row>
    <row r="12" spans="1:40" ht="20" customHeight="1">
      <c r="A12" s="52">
        <v>10</v>
      </c>
      <c r="B12" s="51">
        <v>0</v>
      </c>
      <c r="C12" s="51">
        <v>0</v>
      </c>
      <c r="D12" s="51">
        <v>0</v>
      </c>
      <c r="E12" s="51">
        <v>0</v>
      </c>
      <c r="F12" s="51">
        <v>0</v>
      </c>
      <c r="G12" s="51">
        <v>0</v>
      </c>
      <c r="H12" s="51">
        <v>0</v>
      </c>
      <c r="I12" s="51">
        <v>0</v>
      </c>
      <c r="J12" s="51">
        <v>0</v>
      </c>
      <c r="K12" s="51">
        <f t="shared" ref="J12:K15" si="5">IF(IF(J11="",0,J11)+IF(L11="",0,L11)=0,"",IF(J11="",0,J11)+IF(L11="",0,L11))</f>
        <v>1</v>
      </c>
      <c r="L12" s="51" t="str">
        <f t="shared" ref="L12:L15" si="6">IF(IF(K11="",0,K11)+IF(M11="",0,M11)=0,"",IF(K11="",0,K11)+IF(M11="",0,M11))</f>
        <v/>
      </c>
      <c r="M12" s="51">
        <f t="shared" si="2"/>
        <v>10</v>
      </c>
      <c r="N12" s="51" t="str">
        <f t="shared" si="3"/>
        <v/>
      </c>
      <c r="O12" s="51">
        <f t="shared" si="0"/>
        <v>45</v>
      </c>
      <c r="P12" s="51" t="str">
        <f t="shared" si="0"/>
        <v/>
      </c>
      <c r="Q12" s="51">
        <f t="shared" si="0"/>
        <v>120</v>
      </c>
      <c r="R12" s="51" t="str">
        <f t="shared" si="0"/>
        <v/>
      </c>
      <c r="S12" s="51">
        <f t="shared" si="0"/>
        <v>210</v>
      </c>
      <c r="T12" s="51" t="str">
        <f t="shared" si="0"/>
        <v/>
      </c>
      <c r="U12" s="51">
        <f t="shared" si="0"/>
        <v>252</v>
      </c>
      <c r="V12" s="51" t="str">
        <f t="shared" si="1"/>
        <v/>
      </c>
      <c r="W12" s="51">
        <f t="shared" si="1"/>
        <v>210</v>
      </c>
      <c r="X12" s="51" t="str">
        <f t="shared" si="1"/>
        <v/>
      </c>
      <c r="Y12" s="51">
        <f t="shared" si="1"/>
        <v>120</v>
      </c>
      <c r="Z12" s="51" t="str">
        <f t="shared" si="1"/>
        <v/>
      </c>
      <c r="AA12" s="51">
        <f t="shared" si="1"/>
        <v>45</v>
      </c>
      <c r="AB12" s="51" t="str">
        <f t="shared" si="1"/>
        <v/>
      </c>
      <c r="AC12" s="51">
        <f t="shared" si="1"/>
        <v>10</v>
      </c>
      <c r="AD12" s="51" t="str">
        <f t="shared" si="4"/>
        <v/>
      </c>
      <c r="AE12" s="51">
        <f t="shared" si="1"/>
        <v>1</v>
      </c>
      <c r="AF12" s="51">
        <v>0</v>
      </c>
      <c r="AG12" s="51">
        <v>0</v>
      </c>
      <c r="AH12" s="51">
        <v>0</v>
      </c>
      <c r="AI12" s="51">
        <v>0</v>
      </c>
      <c r="AJ12" s="51">
        <v>0</v>
      </c>
      <c r="AK12" s="51">
        <v>0</v>
      </c>
      <c r="AL12" s="51">
        <v>0</v>
      </c>
      <c r="AM12" s="51">
        <v>0</v>
      </c>
      <c r="AN12" s="51">
        <v>0</v>
      </c>
    </row>
    <row r="13" spans="1:40" ht="20" customHeight="1">
      <c r="A13" s="52">
        <v>11</v>
      </c>
      <c r="B13" s="51">
        <v>0</v>
      </c>
      <c r="C13" s="51">
        <v>0</v>
      </c>
      <c r="D13" s="51">
        <v>0</v>
      </c>
      <c r="E13" s="51">
        <v>0</v>
      </c>
      <c r="F13" s="51">
        <v>0</v>
      </c>
      <c r="G13" s="51">
        <v>0</v>
      </c>
      <c r="H13" s="51">
        <v>0</v>
      </c>
      <c r="I13" s="51">
        <v>0</v>
      </c>
      <c r="J13" s="51">
        <f t="shared" si="5"/>
        <v>1</v>
      </c>
      <c r="K13" s="51" t="str">
        <f t="shared" si="5"/>
        <v/>
      </c>
      <c r="L13" s="51">
        <f t="shared" si="6"/>
        <v>11</v>
      </c>
      <c r="M13" s="51" t="str">
        <f t="shared" si="2"/>
        <v/>
      </c>
      <c r="N13" s="51">
        <f t="shared" si="3"/>
        <v>55</v>
      </c>
      <c r="O13" s="51" t="str">
        <f t="shared" si="0"/>
        <v/>
      </c>
      <c r="P13" s="51">
        <f t="shared" si="0"/>
        <v>165</v>
      </c>
      <c r="Q13" s="51" t="str">
        <f t="shared" si="0"/>
        <v/>
      </c>
      <c r="R13" s="51">
        <f t="shared" si="0"/>
        <v>330</v>
      </c>
      <c r="S13" s="51" t="str">
        <f t="shared" si="0"/>
        <v/>
      </c>
      <c r="T13" s="51">
        <f t="shared" si="0"/>
        <v>462</v>
      </c>
      <c r="U13" s="51" t="str">
        <f t="shared" si="0"/>
        <v/>
      </c>
      <c r="V13" s="51">
        <f t="shared" si="1"/>
        <v>462</v>
      </c>
      <c r="W13" s="51" t="str">
        <f t="shared" si="1"/>
        <v/>
      </c>
      <c r="X13" s="51">
        <f t="shared" si="1"/>
        <v>330</v>
      </c>
      <c r="Y13" s="51" t="str">
        <f t="shared" si="1"/>
        <v/>
      </c>
      <c r="Z13" s="51">
        <f t="shared" si="1"/>
        <v>165</v>
      </c>
      <c r="AA13" s="51" t="str">
        <f t="shared" si="1"/>
        <v/>
      </c>
      <c r="AB13" s="51">
        <f t="shared" si="1"/>
        <v>55</v>
      </c>
      <c r="AC13" s="51" t="str">
        <f t="shared" si="1"/>
        <v/>
      </c>
      <c r="AD13" s="51">
        <f t="shared" si="4"/>
        <v>11</v>
      </c>
      <c r="AE13" s="51" t="str">
        <f t="shared" si="1"/>
        <v/>
      </c>
      <c r="AF13" s="51">
        <f t="shared" si="1"/>
        <v>1</v>
      </c>
      <c r="AG13" s="51">
        <v>0</v>
      </c>
      <c r="AH13" s="51">
        <v>0</v>
      </c>
      <c r="AI13" s="51">
        <v>0</v>
      </c>
      <c r="AJ13" s="51">
        <v>0</v>
      </c>
      <c r="AK13" s="51">
        <v>0</v>
      </c>
      <c r="AL13" s="51">
        <v>0</v>
      </c>
      <c r="AM13" s="51">
        <v>0</v>
      </c>
      <c r="AN13" s="51">
        <v>0</v>
      </c>
    </row>
    <row r="14" spans="1:40" ht="20" customHeight="1">
      <c r="A14" s="52">
        <v>12</v>
      </c>
      <c r="B14" s="51">
        <v>0</v>
      </c>
      <c r="C14" s="51">
        <v>0</v>
      </c>
      <c r="D14" s="51">
        <v>0</v>
      </c>
      <c r="E14" s="51">
        <v>0</v>
      </c>
      <c r="F14" s="51">
        <v>0</v>
      </c>
      <c r="G14" s="51">
        <v>0</v>
      </c>
      <c r="H14" s="51">
        <v>0</v>
      </c>
      <c r="I14" s="51">
        <v>1</v>
      </c>
      <c r="J14" s="51" t="str">
        <f t="shared" si="5"/>
        <v/>
      </c>
      <c r="K14" s="51">
        <f t="shared" si="5"/>
        <v>12</v>
      </c>
      <c r="L14" s="51" t="str">
        <f t="shared" si="6"/>
        <v/>
      </c>
      <c r="M14" s="51">
        <f t="shared" si="2"/>
        <v>66</v>
      </c>
      <c r="N14" s="51" t="str">
        <f t="shared" si="3"/>
        <v/>
      </c>
      <c r="O14" s="51">
        <f t="shared" si="0"/>
        <v>220</v>
      </c>
      <c r="P14" s="51" t="str">
        <f t="shared" si="0"/>
        <v/>
      </c>
      <c r="Q14" s="51">
        <f t="shared" si="0"/>
        <v>495</v>
      </c>
      <c r="R14" s="51" t="str">
        <f t="shared" si="0"/>
        <v/>
      </c>
      <c r="S14" s="51">
        <f t="shared" si="0"/>
        <v>792</v>
      </c>
      <c r="T14" s="51" t="str">
        <f t="shared" si="0"/>
        <v/>
      </c>
      <c r="U14" s="51">
        <f t="shared" si="0"/>
        <v>924</v>
      </c>
      <c r="V14" s="51" t="str">
        <f t="shared" si="1"/>
        <v/>
      </c>
      <c r="W14" s="51">
        <f t="shared" si="1"/>
        <v>792</v>
      </c>
      <c r="X14" s="51" t="str">
        <f t="shared" si="1"/>
        <v/>
      </c>
      <c r="Y14" s="51">
        <f t="shared" si="1"/>
        <v>495</v>
      </c>
      <c r="Z14" s="51" t="str">
        <f t="shared" si="1"/>
        <v/>
      </c>
      <c r="AA14" s="51">
        <f t="shared" si="1"/>
        <v>220</v>
      </c>
      <c r="AB14" s="51" t="str">
        <f t="shared" si="1"/>
        <v/>
      </c>
      <c r="AC14" s="51">
        <f t="shared" si="1"/>
        <v>66</v>
      </c>
      <c r="AD14" s="51" t="str">
        <f t="shared" si="4"/>
        <v/>
      </c>
      <c r="AE14" s="51">
        <f t="shared" si="1"/>
        <v>12</v>
      </c>
      <c r="AF14" s="51" t="str">
        <f t="shared" si="1"/>
        <v/>
      </c>
      <c r="AG14" s="51">
        <f t="shared" si="1"/>
        <v>1</v>
      </c>
      <c r="AH14" s="51">
        <v>0</v>
      </c>
      <c r="AI14" s="51">
        <v>0</v>
      </c>
      <c r="AJ14" s="51">
        <v>0</v>
      </c>
      <c r="AK14" s="51">
        <v>0</v>
      </c>
      <c r="AL14" s="51">
        <v>0</v>
      </c>
      <c r="AM14" s="51">
        <v>0</v>
      </c>
      <c r="AN14" s="51">
        <v>0</v>
      </c>
    </row>
    <row r="15" spans="1:40" ht="20" customHeight="1">
      <c r="A15" s="52">
        <v>13</v>
      </c>
      <c r="B15" s="51">
        <v>0</v>
      </c>
      <c r="C15" s="51">
        <v>0</v>
      </c>
      <c r="D15" s="51">
        <v>0</v>
      </c>
      <c r="E15" s="51">
        <v>0</v>
      </c>
      <c r="F15" s="51">
        <v>0</v>
      </c>
      <c r="G15" s="51">
        <v>0</v>
      </c>
      <c r="H15" s="51">
        <f t="shared" ref="H15" si="7">IF(IF(G14="",0,G14)+IF(I14="",0,I14)=0,"",IF(G14="",0,G14)+IF(I14="",0,I14))</f>
        <v>1</v>
      </c>
      <c r="I15" s="51" t="str">
        <f t="shared" ref="I15" si="8">IF(IF(H14="",0,H14)+IF(J14="",0,J14)=0,"",IF(H14="",0,H14)+IF(J14="",0,J14))</f>
        <v/>
      </c>
      <c r="J15" s="51">
        <f t="shared" ref="J15:J21" si="9">IF(IF(I14="",0,I14)+IF(K14="",0,K14)=0,"",IF(I14="",0,I14)+IF(K14="",0,K14))</f>
        <v>13</v>
      </c>
      <c r="K15" s="51" t="str">
        <f t="shared" si="5"/>
        <v/>
      </c>
      <c r="L15" s="51">
        <f t="shared" si="6"/>
        <v>78</v>
      </c>
      <c r="M15" s="51" t="str">
        <f t="shared" si="2"/>
        <v/>
      </c>
      <c r="N15" s="51">
        <f t="shared" si="3"/>
        <v>286</v>
      </c>
      <c r="O15" s="51" t="str">
        <f t="shared" si="0"/>
        <v/>
      </c>
      <c r="P15" s="51">
        <f t="shared" si="0"/>
        <v>715</v>
      </c>
      <c r="Q15" s="51" t="str">
        <f t="shared" si="0"/>
        <v/>
      </c>
      <c r="R15" s="51">
        <f t="shared" si="0"/>
        <v>1287</v>
      </c>
      <c r="S15" s="51" t="str">
        <f t="shared" si="0"/>
        <v/>
      </c>
      <c r="T15" s="51">
        <f t="shared" si="0"/>
        <v>1716</v>
      </c>
      <c r="U15" s="51" t="str">
        <f t="shared" si="0"/>
        <v/>
      </c>
      <c r="V15" s="51">
        <f t="shared" si="1"/>
        <v>1716</v>
      </c>
      <c r="W15" s="51" t="str">
        <f t="shared" si="1"/>
        <v/>
      </c>
      <c r="X15" s="51">
        <f t="shared" si="1"/>
        <v>1287</v>
      </c>
      <c r="Y15" s="51" t="str">
        <f t="shared" si="1"/>
        <v/>
      </c>
      <c r="Z15" s="51">
        <f t="shared" si="1"/>
        <v>715</v>
      </c>
      <c r="AA15" s="51" t="str">
        <f t="shared" si="1"/>
        <v/>
      </c>
      <c r="AB15" s="51">
        <f t="shared" si="1"/>
        <v>286</v>
      </c>
      <c r="AC15" s="51" t="str">
        <f t="shared" si="1"/>
        <v/>
      </c>
      <c r="AD15" s="51">
        <f t="shared" si="4"/>
        <v>78</v>
      </c>
      <c r="AE15" s="51" t="str">
        <f t="shared" si="1"/>
        <v/>
      </c>
      <c r="AF15" s="51">
        <f t="shared" si="1"/>
        <v>13</v>
      </c>
      <c r="AG15" s="51" t="str">
        <f t="shared" si="1"/>
        <v/>
      </c>
      <c r="AH15" s="51">
        <f t="shared" si="1"/>
        <v>1</v>
      </c>
      <c r="AI15" s="51">
        <v>0</v>
      </c>
      <c r="AJ15" s="51">
        <v>0</v>
      </c>
      <c r="AK15" s="51">
        <v>0</v>
      </c>
      <c r="AL15" s="51">
        <v>0</v>
      </c>
      <c r="AM15" s="51">
        <v>0</v>
      </c>
      <c r="AN15" s="51">
        <v>0</v>
      </c>
    </row>
    <row r="16" spans="1:40" ht="20" customHeight="1">
      <c r="A16" s="52">
        <v>14</v>
      </c>
      <c r="B16" s="51">
        <v>0</v>
      </c>
      <c r="C16" s="51">
        <v>0</v>
      </c>
      <c r="D16" s="51">
        <v>0</v>
      </c>
      <c r="E16" s="51">
        <v>0</v>
      </c>
      <c r="F16" s="51">
        <v>0</v>
      </c>
      <c r="G16" s="51">
        <f t="shared" ref="G16:G21" si="10">IF(IF(F15="",0,F15)+IF(H15="",0,H15)=0,"",IF(F15="",0,F15)+IF(H15="",0,H15))</f>
        <v>1</v>
      </c>
      <c r="H16" s="51" t="str">
        <f t="shared" ref="H16:H21" si="11">IF(IF(G15="",0,G15)+IF(I15="",0,I15)=0,"",IF(G15="",0,G15)+IF(I15="",0,I15))</f>
        <v/>
      </c>
      <c r="I16" s="51">
        <f t="shared" ref="I16:I21" si="12">IF(IF(H15="",0,H15)+IF(J15="",0,J15)=0,"",IF(H15="",0,H15)+IF(J15="",0,J15))</f>
        <v>14</v>
      </c>
      <c r="J16" s="51" t="str">
        <f t="shared" si="9"/>
        <v/>
      </c>
      <c r="K16" s="51">
        <f t="shared" ref="K16:K21" si="13">IF(IF(J15="",0,J15)+IF(L15="",0,L15)=0,"",IF(J15="",0,J15)+IF(L15="",0,L15))</f>
        <v>91</v>
      </c>
      <c r="L16" s="51" t="str">
        <f t="shared" ref="L16:L21" si="14">IF(IF(K15="",0,K15)+IF(M15="",0,M15)=0,"",IF(K15="",0,K15)+IF(M15="",0,M15))</f>
        <v/>
      </c>
      <c r="M16" s="51">
        <f t="shared" si="2"/>
        <v>364</v>
      </c>
      <c r="N16" s="51" t="str">
        <f t="shared" si="3"/>
        <v/>
      </c>
      <c r="O16" s="51">
        <f t="shared" si="0"/>
        <v>1001</v>
      </c>
      <c r="P16" s="51" t="str">
        <f t="shared" si="0"/>
        <v/>
      </c>
      <c r="Q16" s="51">
        <f t="shared" si="0"/>
        <v>2002</v>
      </c>
      <c r="R16" s="51" t="str">
        <f t="shared" si="0"/>
        <v/>
      </c>
      <c r="S16" s="51">
        <f t="shared" si="0"/>
        <v>3003</v>
      </c>
      <c r="T16" s="51" t="str">
        <f t="shared" si="0"/>
        <v/>
      </c>
      <c r="U16" s="51">
        <f t="shared" si="0"/>
        <v>3432</v>
      </c>
      <c r="V16" s="51" t="str">
        <f t="shared" si="1"/>
        <v/>
      </c>
      <c r="W16" s="51">
        <f t="shared" si="1"/>
        <v>3003</v>
      </c>
      <c r="X16" s="51" t="str">
        <f t="shared" si="1"/>
        <v/>
      </c>
      <c r="Y16" s="51">
        <f t="shared" si="1"/>
        <v>2002</v>
      </c>
      <c r="Z16" s="51" t="str">
        <f t="shared" si="1"/>
        <v/>
      </c>
      <c r="AA16" s="51">
        <f t="shared" si="1"/>
        <v>1001</v>
      </c>
      <c r="AB16" s="51" t="str">
        <f t="shared" si="1"/>
        <v/>
      </c>
      <c r="AC16" s="51">
        <f t="shared" si="1"/>
        <v>364</v>
      </c>
      <c r="AD16" s="51" t="str">
        <f t="shared" si="4"/>
        <v/>
      </c>
      <c r="AE16" s="51">
        <f t="shared" si="1"/>
        <v>91</v>
      </c>
      <c r="AF16" s="51" t="str">
        <f t="shared" si="1"/>
        <v/>
      </c>
      <c r="AG16" s="51">
        <f t="shared" si="1"/>
        <v>14</v>
      </c>
      <c r="AH16" s="51" t="str">
        <f t="shared" si="1"/>
        <v/>
      </c>
      <c r="AI16" s="51">
        <f t="shared" si="1"/>
        <v>1</v>
      </c>
      <c r="AJ16" s="51">
        <v>0</v>
      </c>
      <c r="AK16" s="51">
        <v>0</v>
      </c>
      <c r="AL16" s="51">
        <v>0</v>
      </c>
      <c r="AM16" s="51">
        <v>0</v>
      </c>
      <c r="AN16" s="51">
        <v>0</v>
      </c>
    </row>
    <row r="17" spans="1:40" ht="20" customHeight="1">
      <c r="A17" s="52">
        <v>15</v>
      </c>
      <c r="B17" s="51">
        <v>0</v>
      </c>
      <c r="C17" s="51">
        <v>0</v>
      </c>
      <c r="D17" s="51">
        <v>0</v>
      </c>
      <c r="E17" s="51">
        <v>0</v>
      </c>
      <c r="F17" s="51">
        <f t="shared" ref="F17:F21" si="15">IF(IF(E16="",0,E16)+IF(G16="",0,G16)=0,"",IF(E16="",0,E16)+IF(G16="",0,G16))</f>
        <v>1</v>
      </c>
      <c r="G17" s="51" t="str">
        <f t="shared" si="10"/>
        <v/>
      </c>
      <c r="H17" s="51">
        <f t="shared" si="11"/>
        <v>15</v>
      </c>
      <c r="I17" s="51" t="str">
        <f t="shared" si="12"/>
        <v/>
      </c>
      <c r="J17" s="51">
        <f t="shared" si="9"/>
        <v>105</v>
      </c>
      <c r="K17" s="51" t="str">
        <f t="shared" si="13"/>
        <v/>
      </c>
      <c r="L17" s="51">
        <f t="shared" si="14"/>
        <v>455</v>
      </c>
      <c r="M17" s="51" t="str">
        <f t="shared" si="2"/>
        <v/>
      </c>
      <c r="N17" s="51">
        <f t="shared" si="3"/>
        <v>1365</v>
      </c>
      <c r="O17" s="51" t="str">
        <f t="shared" si="0"/>
        <v/>
      </c>
      <c r="P17" s="51">
        <f t="shared" si="0"/>
        <v>3003</v>
      </c>
      <c r="Q17" s="51" t="str">
        <f t="shared" si="0"/>
        <v/>
      </c>
      <c r="R17" s="51">
        <f t="shared" si="0"/>
        <v>5005</v>
      </c>
      <c r="S17" s="51" t="str">
        <f t="shared" si="0"/>
        <v/>
      </c>
      <c r="T17" s="51">
        <f t="shared" si="0"/>
        <v>6435</v>
      </c>
      <c r="U17" s="51" t="str">
        <f t="shared" si="0"/>
        <v/>
      </c>
      <c r="V17" s="51">
        <f t="shared" si="1"/>
        <v>6435</v>
      </c>
      <c r="W17" s="51" t="str">
        <f t="shared" si="1"/>
        <v/>
      </c>
      <c r="X17" s="51">
        <f t="shared" si="1"/>
        <v>5005</v>
      </c>
      <c r="Y17" s="51" t="str">
        <f t="shared" si="1"/>
        <v/>
      </c>
      <c r="Z17" s="51">
        <f t="shared" si="1"/>
        <v>3003</v>
      </c>
      <c r="AA17" s="51" t="str">
        <f t="shared" si="1"/>
        <v/>
      </c>
      <c r="AB17" s="51">
        <f t="shared" si="1"/>
        <v>1365</v>
      </c>
      <c r="AC17" s="51" t="str">
        <f t="shared" si="1"/>
        <v/>
      </c>
      <c r="AD17" s="51">
        <f t="shared" si="4"/>
        <v>455</v>
      </c>
      <c r="AE17" s="51" t="str">
        <f t="shared" si="1"/>
        <v/>
      </c>
      <c r="AF17" s="51">
        <f t="shared" si="1"/>
        <v>105</v>
      </c>
      <c r="AG17" s="51" t="str">
        <f t="shared" si="1"/>
        <v/>
      </c>
      <c r="AH17" s="51">
        <f t="shared" si="1"/>
        <v>15</v>
      </c>
      <c r="AI17" s="51" t="str">
        <f t="shared" si="1"/>
        <v/>
      </c>
      <c r="AJ17" s="51">
        <f t="shared" si="1"/>
        <v>1</v>
      </c>
      <c r="AK17" s="51">
        <v>0</v>
      </c>
      <c r="AL17" s="51">
        <v>0</v>
      </c>
      <c r="AM17" s="51">
        <v>0</v>
      </c>
      <c r="AN17" s="51">
        <v>0</v>
      </c>
    </row>
    <row r="18" spans="1:40" ht="20" customHeight="1">
      <c r="A18" s="52">
        <v>16</v>
      </c>
      <c r="B18" s="51">
        <v>0</v>
      </c>
      <c r="C18" s="51">
        <v>0</v>
      </c>
      <c r="D18" s="51">
        <v>0</v>
      </c>
      <c r="E18" s="51">
        <f t="shared" ref="E18:E21" si="16">IF(IF(D17="",0,D17)+IF(F17="",0,F17)=0,"",IF(D17="",0,D17)+IF(F17="",0,F17))</f>
        <v>1</v>
      </c>
      <c r="F18" s="51" t="str">
        <f t="shared" si="15"/>
        <v/>
      </c>
      <c r="G18" s="51">
        <f t="shared" si="10"/>
        <v>16</v>
      </c>
      <c r="H18" s="51" t="str">
        <f t="shared" si="11"/>
        <v/>
      </c>
      <c r="I18" s="51">
        <f t="shared" si="12"/>
        <v>120</v>
      </c>
      <c r="J18" s="51" t="str">
        <f t="shared" si="9"/>
        <v/>
      </c>
      <c r="K18" s="51">
        <f t="shared" si="13"/>
        <v>560</v>
      </c>
      <c r="L18" s="51" t="str">
        <f t="shared" si="14"/>
        <v/>
      </c>
      <c r="M18" s="51">
        <f t="shared" si="2"/>
        <v>1820</v>
      </c>
      <c r="N18" s="51" t="str">
        <f t="shared" si="3"/>
        <v/>
      </c>
      <c r="O18" s="51">
        <f t="shared" si="0"/>
        <v>4368</v>
      </c>
      <c r="P18" s="51" t="str">
        <f t="shared" si="0"/>
        <v/>
      </c>
      <c r="Q18" s="51">
        <f t="shared" si="0"/>
        <v>8008</v>
      </c>
      <c r="R18" s="51" t="str">
        <f t="shared" si="0"/>
        <v/>
      </c>
      <c r="S18" s="51">
        <f t="shared" si="0"/>
        <v>11440</v>
      </c>
      <c r="T18" s="51" t="str">
        <f t="shared" si="0"/>
        <v/>
      </c>
      <c r="U18" s="51">
        <f t="shared" si="0"/>
        <v>12870</v>
      </c>
      <c r="V18" s="51" t="str">
        <f t="shared" si="1"/>
        <v/>
      </c>
      <c r="W18" s="51">
        <f t="shared" si="1"/>
        <v>11440</v>
      </c>
      <c r="X18" s="51" t="str">
        <f t="shared" si="1"/>
        <v/>
      </c>
      <c r="Y18" s="51">
        <f t="shared" si="1"/>
        <v>8008</v>
      </c>
      <c r="Z18" s="51" t="str">
        <f t="shared" si="1"/>
        <v/>
      </c>
      <c r="AA18" s="51">
        <f t="shared" si="1"/>
        <v>4368</v>
      </c>
      <c r="AB18" s="51" t="str">
        <f t="shared" si="1"/>
        <v/>
      </c>
      <c r="AC18" s="51">
        <f t="shared" si="1"/>
        <v>1820</v>
      </c>
      <c r="AD18" s="51" t="str">
        <f t="shared" si="4"/>
        <v/>
      </c>
      <c r="AE18" s="51">
        <f t="shared" si="1"/>
        <v>560</v>
      </c>
      <c r="AF18" s="51" t="str">
        <f t="shared" si="1"/>
        <v/>
      </c>
      <c r="AG18" s="51">
        <f t="shared" si="1"/>
        <v>120</v>
      </c>
      <c r="AH18" s="51" t="str">
        <f t="shared" si="1"/>
        <v/>
      </c>
      <c r="AI18" s="51">
        <f t="shared" si="1"/>
        <v>16</v>
      </c>
      <c r="AJ18" s="51" t="str">
        <f t="shared" si="1"/>
        <v/>
      </c>
      <c r="AK18" s="51">
        <f t="shared" ref="AK18:AK21" si="17">IF(IF(AJ17="",0,AJ17)+IF(AL17="",0,AL17)=0,"",IF(AJ17="",0,AJ17)+IF(AL17="",0,AL17))</f>
        <v>1</v>
      </c>
      <c r="AL18" s="51">
        <v>0</v>
      </c>
      <c r="AM18" s="51">
        <v>0</v>
      </c>
      <c r="AN18" s="51">
        <v>0</v>
      </c>
    </row>
    <row r="19" spans="1:40" ht="20" customHeight="1">
      <c r="A19" s="52">
        <v>17</v>
      </c>
      <c r="B19" s="51">
        <v>0</v>
      </c>
      <c r="C19" s="51">
        <v>0</v>
      </c>
      <c r="D19" s="51">
        <f t="shared" ref="D19:D21" si="18">IF(IF(C18="",0,C18)+IF(E18="",0,E18)=0,"",IF(C18="",0,C18)+IF(E18="",0,E18))</f>
        <v>1</v>
      </c>
      <c r="E19" s="51" t="str">
        <f t="shared" si="16"/>
        <v/>
      </c>
      <c r="F19" s="51">
        <f t="shared" si="15"/>
        <v>17</v>
      </c>
      <c r="G19" s="51" t="str">
        <f t="shared" si="10"/>
        <v/>
      </c>
      <c r="H19" s="51">
        <f t="shared" si="11"/>
        <v>136</v>
      </c>
      <c r="I19" s="51" t="str">
        <f t="shared" si="12"/>
        <v/>
      </c>
      <c r="J19" s="51">
        <f t="shared" si="9"/>
        <v>680</v>
      </c>
      <c r="K19" s="51" t="str">
        <f t="shared" si="13"/>
        <v/>
      </c>
      <c r="L19" s="51">
        <f t="shared" si="14"/>
        <v>2380</v>
      </c>
      <c r="M19" s="51" t="str">
        <f t="shared" si="2"/>
        <v/>
      </c>
      <c r="N19" s="51">
        <f t="shared" si="3"/>
        <v>6188</v>
      </c>
      <c r="O19" s="51" t="str">
        <f t="shared" ref="O19:U21" si="19">IF(IF(N18="",0,N18)+IF(P18="",0,P18)=0,"",IF(N18="",0,N18)+IF(P18="",0,P18))</f>
        <v/>
      </c>
      <c r="P19" s="51">
        <f t="shared" si="19"/>
        <v>12376</v>
      </c>
      <c r="Q19" s="51" t="str">
        <f t="shared" si="19"/>
        <v/>
      </c>
      <c r="R19" s="51">
        <f t="shared" si="19"/>
        <v>19448</v>
      </c>
      <c r="S19" s="51" t="str">
        <f t="shared" si="19"/>
        <v/>
      </c>
      <c r="T19" s="51">
        <f t="shared" si="19"/>
        <v>24310</v>
      </c>
      <c r="U19" s="51" t="str">
        <f t="shared" si="19"/>
        <v/>
      </c>
      <c r="V19" s="51">
        <f t="shared" si="1"/>
        <v>24310</v>
      </c>
      <c r="W19" s="51" t="str">
        <f t="shared" si="1"/>
        <v/>
      </c>
      <c r="X19" s="51">
        <f t="shared" si="1"/>
        <v>19448</v>
      </c>
      <c r="Y19" s="51" t="str">
        <f t="shared" si="1"/>
        <v/>
      </c>
      <c r="Z19" s="51">
        <f t="shared" si="1"/>
        <v>12376</v>
      </c>
      <c r="AA19" s="51" t="str">
        <f t="shared" si="1"/>
        <v/>
      </c>
      <c r="AB19" s="51">
        <f t="shared" si="1"/>
        <v>6188</v>
      </c>
      <c r="AC19" s="51" t="str">
        <f t="shared" si="1"/>
        <v/>
      </c>
      <c r="AD19" s="51">
        <f t="shared" si="4"/>
        <v>2380</v>
      </c>
      <c r="AE19" s="51" t="str">
        <f t="shared" si="1"/>
        <v/>
      </c>
      <c r="AF19" s="51">
        <f t="shared" si="1"/>
        <v>680</v>
      </c>
      <c r="AG19" s="51" t="str">
        <f t="shared" si="1"/>
        <v/>
      </c>
      <c r="AH19" s="51">
        <f t="shared" si="1"/>
        <v>136</v>
      </c>
      <c r="AI19" s="51" t="str">
        <f t="shared" si="1"/>
        <v/>
      </c>
      <c r="AJ19" s="51">
        <f t="shared" si="1"/>
        <v>17</v>
      </c>
      <c r="AK19" s="51" t="str">
        <f t="shared" si="17"/>
        <v/>
      </c>
      <c r="AL19" s="51">
        <f t="shared" ref="AL19:AN21" si="20">IF(IF(AK18="",0,AK18)+IF(AM18="",0,AM18)=0,"",IF(AK18="",0,AK18)+IF(AM18="",0,AM18))</f>
        <v>1</v>
      </c>
      <c r="AM19" s="51">
        <v>0</v>
      </c>
      <c r="AN19" s="51">
        <v>0</v>
      </c>
    </row>
    <row r="20" spans="1:40" ht="20" customHeight="1">
      <c r="A20" s="52">
        <v>18</v>
      </c>
      <c r="B20" s="51">
        <v>0</v>
      </c>
      <c r="C20" s="51">
        <v>1</v>
      </c>
      <c r="D20" s="51" t="str">
        <f t="shared" si="18"/>
        <v/>
      </c>
      <c r="E20" s="51">
        <f t="shared" si="16"/>
        <v>18</v>
      </c>
      <c r="F20" s="51" t="str">
        <f t="shared" si="15"/>
        <v/>
      </c>
      <c r="G20" s="51">
        <f t="shared" si="10"/>
        <v>153</v>
      </c>
      <c r="H20" s="51" t="str">
        <f t="shared" si="11"/>
        <v/>
      </c>
      <c r="I20" s="51">
        <f t="shared" si="12"/>
        <v>816</v>
      </c>
      <c r="J20" s="51" t="str">
        <f t="shared" si="9"/>
        <v/>
      </c>
      <c r="K20" s="51">
        <f t="shared" si="13"/>
        <v>3060</v>
      </c>
      <c r="L20" s="51" t="str">
        <f t="shared" si="14"/>
        <v/>
      </c>
      <c r="M20" s="51">
        <f t="shared" si="2"/>
        <v>8568</v>
      </c>
      <c r="N20" s="51" t="str">
        <f t="shared" si="3"/>
        <v/>
      </c>
      <c r="O20" s="51">
        <f t="shared" si="19"/>
        <v>18564</v>
      </c>
      <c r="P20" s="51" t="str">
        <f t="shared" si="19"/>
        <v/>
      </c>
      <c r="Q20" s="51">
        <f t="shared" si="19"/>
        <v>31824</v>
      </c>
      <c r="R20" s="51" t="str">
        <f t="shared" si="19"/>
        <v/>
      </c>
      <c r="S20" s="51">
        <f t="shared" si="19"/>
        <v>43758</v>
      </c>
      <c r="T20" s="51" t="str">
        <f t="shared" si="19"/>
        <v/>
      </c>
      <c r="U20" s="51">
        <f t="shared" si="19"/>
        <v>48620</v>
      </c>
      <c r="V20" s="51" t="str">
        <f t="shared" si="1"/>
        <v/>
      </c>
      <c r="W20" s="51">
        <f t="shared" si="1"/>
        <v>43758</v>
      </c>
      <c r="X20" s="51" t="str">
        <f t="shared" si="1"/>
        <v/>
      </c>
      <c r="Y20" s="51">
        <f t="shared" si="1"/>
        <v>31824</v>
      </c>
      <c r="Z20" s="51" t="str">
        <f t="shared" si="1"/>
        <v/>
      </c>
      <c r="AA20" s="51">
        <f t="shared" si="1"/>
        <v>18564</v>
      </c>
      <c r="AB20" s="51" t="str">
        <f t="shared" si="1"/>
        <v/>
      </c>
      <c r="AC20" s="51">
        <f t="shared" si="1"/>
        <v>8568</v>
      </c>
      <c r="AD20" s="51" t="str">
        <f t="shared" si="4"/>
        <v/>
      </c>
      <c r="AE20" s="51">
        <f t="shared" si="1"/>
        <v>3060</v>
      </c>
      <c r="AF20" s="51" t="str">
        <f t="shared" si="1"/>
        <v/>
      </c>
      <c r="AG20" s="51">
        <f t="shared" si="1"/>
        <v>816</v>
      </c>
      <c r="AH20" s="51" t="str">
        <f t="shared" si="1"/>
        <v/>
      </c>
      <c r="AI20" s="51">
        <f t="shared" si="1"/>
        <v>153</v>
      </c>
      <c r="AJ20" s="51" t="str">
        <f t="shared" si="1"/>
        <v/>
      </c>
      <c r="AK20" s="51">
        <f t="shared" si="17"/>
        <v>18</v>
      </c>
      <c r="AL20" s="51" t="str">
        <f t="shared" si="20"/>
        <v/>
      </c>
      <c r="AM20" s="51">
        <f t="shared" si="20"/>
        <v>1</v>
      </c>
      <c r="AN20" s="51">
        <v>0</v>
      </c>
    </row>
    <row r="21" spans="1:40" ht="20" customHeight="1">
      <c r="A21" s="52">
        <v>19</v>
      </c>
      <c r="B21" s="51">
        <v>1</v>
      </c>
      <c r="C21" s="51" t="str">
        <f t="shared" ref="C21" si="21">IF(IF(B20="",0,B20)+IF(D20="",0,D20)=0,"",IF(B20="",0,B20)+IF(D20="",0,D20))</f>
        <v/>
      </c>
      <c r="D21" s="51">
        <f t="shared" si="18"/>
        <v>19</v>
      </c>
      <c r="E21" s="51" t="str">
        <f t="shared" si="16"/>
        <v/>
      </c>
      <c r="F21" s="51">
        <f t="shared" si="15"/>
        <v>171</v>
      </c>
      <c r="G21" s="51" t="str">
        <f t="shared" si="10"/>
        <v/>
      </c>
      <c r="H21" s="51">
        <f t="shared" si="11"/>
        <v>969</v>
      </c>
      <c r="I21" s="51" t="str">
        <f t="shared" si="12"/>
        <v/>
      </c>
      <c r="J21" s="51">
        <f t="shared" si="9"/>
        <v>3876</v>
      </c>
      <c r="K21" s="51" t="str">
        <f t="shared" si="13"/>
        <v/>
      </c>
      <c r="L21" s="51">
        <f t="shared" si="14"/>
        <v>11628</v>
      </c>
      <c r="M21" s="51" t="str">
        <f t="shared" si="2"/>
        <v/>
      </c>
      <c r="N21" s="51">
        <f t="shared" si="3"/>
        <v>27132</v>
      </c>
      <c r="O21" s="51" t="str">
        <f t="shared" si="19"/>
        <v/>
      </c>
      <c r="P21" s="51">
        <f t="shared" si="19"/>
        <v>50388</v>
      </c>
      <c r="Q21" s="51" t="str">
        <f t="shared" si="19"/>
        <v/>
      </c>
      <c r="R21" s="51">
        <f t="shared" si="19"/>
        <v>75582</v>
      </c>
      <c r="S21" s="51" t="str">
        <f t="shared" si="19"/>
        <v/>
      </c>
      <c r="T21" s="51">
        <f t="shared" si="19"/>
        <v>92378</v>
      </c>
      <c r="U21" s="51" t="str">
        <f t="shared" si="19"/>
        <v/>
      </c>
      <c r="V21" s="51">
        <f t="shared" si="1"/>
        <v>92378</v>
      </c>
      <c r="W21" s="51" t="str">
        <f t="shared" si="1"/>
        <v/>
      </c>
      <c r="X21" s="51">
        <f t="shared" si="1"/>
        <v>75582</v>
      </c>
      <c r="Y21" s="51" t="str">
        <f t="shared" si="1"/>
        <v/>
      </c>
      <c r="Z21" s="51">
        <f t="shared" si="1"/>
        <v>50388</v>
      </c>
      <c r="AA21" s="51" t="str">
        <f t="shared" si="1"/>
        <v/>
      </c>
      <c r="AB21" s="51">
        <f t="shared" si="1"/>
        <v>27132</v>
      </c>
      <c r="AC21" s="51" t="str">
        <f t="shared" si="1"/>
        <v/>
      </c>
      <c r="AD21" s="51">
        <f t="shared" si="4"/>
        <v>11628</v>
      </c>
      <c r="AE21" s="51" t="str">
        <f t="shared" si="1"/>
        <v/>
      </c>
      <c r="AF21" s="51">
        <f t="shared" si="1"/>
        <v>3876</v>
      </c>
      <c r="AG21" s="51" t="str">
        <f t="shared" si="1"/>
        <v/>
      </c>
      <c r="AH21" s="51">
        <f t="shared" si="1"/>
        <v>969</v>
      </c>
      <c r="AI21" s="51" t="str">
        <f t="shared" si="1"/>
        <v/>
      </c>
      <c r="AJ21" s="51">
        <f t="shared" si="1"/>
        <v>171</v>
      </c>
      <c r="AK21" s="51" t="str">
        <f t="shared" si="17"/>
        <v/>
      </c>
      <c r="AL21" s="51">
        <f t="shared" si="20"/>
        <v>19</v>
      </c>
      <c r="AM21" s="51" t="str">
        <f t="shared" si="20"/>
        <v/>
      </c>
      <c r="AN21" s="51">
        <f t="shared" si="20"/>
        <v>1</v>
      </c>
    </row>
    <row r="22" spans="1:40" ht="20" customHeight="1"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</row>
    <row r="23" spans="1:40" ht="20" customHeight="1"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</row>
  </sheetData>
  <conditionalFormatting sqref="J13:J14 E2:L10 L2:AN11 K12:AN14 H15:AN15 M16:AN21">
    <cfRule type="cellIs" dxfId="29" priority="30" operator="greaterThan">
      <formula>0</formula>
    </cfRule>
  </conditionalFormatting>
  <conditionalFormatting sqref="E11:I13">
    <cfRule type="cellIs" dxfId="28" priority="25" operator="greaterThan">
      <formula>0</formula>
    </cfRule>
  </conditionalFormatting>
  <conditionalFormatting sqref="I14">
    <cfRule type="cellIs" dxfId="27" priority="27" operator="greaterThan">
      <formula>0</formula>
    </cfRule>
  </conditionalFormatting>
  <conditionalFormatting sqref="E14:G14">
    <cfRule type="cellIs" dxfId="26" priority="21" operator="greaterThan">
      <formula>0</formula>
    </cfRule>
  </conditionalFormatting>
  <conditionalFormatting sqref="J11">
    <cfRule type="cellIs" dxfId="25" priority="24" operator="greaterThan">
      <formula>0</formula>
    </cfRule>
  </conditionalFormatting>
  <conditionalFormatting sqref="J12">
    <cfRule type="cellIs" dxfId="24" priority="23" operator="greaterThan">
      <formula>0</formula>
    </cfRule>
  </conditionalFormatting>
  <conditionalFormatting sqref="K11">
    <cfRule type="cellIs" dxfId="23" priority="22" operator="greaterThan">
      <formula>0</formula>
    </cfRule>
  </conditionalFormatting>
  <conditionalFormatting sqref="H14">
    <cfRule type="cellIs" dxfId="22" priority="20" operator="greaterThan">
      <formula>0</formula>
    </cfRule>
  </conditionalFormatting>
  <conditionalFormatting sqref="E15:G15 E16:E17">
    <cfRule type="cellIs" dxfId="21" priority="19" operator="greaterThan">
      <formula>0</formula>
    </cfRule>
  </conditionalFormatting>
  <conditionalFormatting sqref="F16">
    <cfRule type="cellIs" dxfId="20" priority="4" operator="greaterThan">
      <formula>0</formula>
    </cfRule>
  </conditionalFormatting>
  <conditionalFormatting sqref="D11:D13">
    <cfRule type="cellIs" dxfId="19" priority="11" operator="greaterThan">
      <formula>0</formula>
    </cfRule>
  </conditionalFormatting>
  <conditionalFormatting sqref="D15:D18">
    <cfRule type="cellIs" dxfId="18" priority="9" operator="greaterThan">
      <formula>0</formula>
    </cfRule>
  </conditionalFormatting>
  <conditionalFormatting sqref="B15:C16">
    <cfRule type="cellIs" dxfId="17" priority="5" operator="greaterThan">
      <formula>0</formula>
    </cfRule>
  </conditionalFormatting>
  <conditionalFormatting sqref="G16:L21 C21:F21">
    <cfRule type="cellIs" dxfId="16" priority="13" operator="greaterThan">
      <formula>0</formula>
    </cfRule>
  </conditionalFormatting>
  <conditionalFormatting sqref="B21">
    <cfRule type="cellIs" dxfId="15" priority="1" operator="greaterThan">
      <formula>0</formula>
    </cfRule>
  </conditionalFormatting>
  <conditionalFormatting sqref="D2:D10">
    <cfRule type="cellIs" dxfId="14" priority="12" operator="greaterThan">
      <formula>0</formula>
    </cfRule>
  </conditionalFormatting>
  <conditionalFormatting sqref="B11:C13">
    <cfRule type="cellIs" dxfId="13" priority="7" operator="greaterThan">
      <formula>0</formula>
    </cfRule>
  </conditionalFormatting>
  <conditionalFormatting sqref="D14">
    <cfRule type="cellIs" dxfId="12" priority="10" operator="greaterThan">
      <formula>0</formula>
    </cfRule>
  </conditionalFormatting>
  <conditionalFormatting sqref="B2:C10">
    <cfRule type="cellIs" dxfId="11" priority="8" operator="greaterThan">
      <formula>0</formula>
    </cfRule>
  </conditionalFormatting>
  <conditionalFormatting sqref="B14:C14">
    <cfRule type="cellIs" dxfId="10" priority="6" operator="greaterThan">
      <formula>0</formula>
    </cfRule>
  </conditionalFormatting>
  <conditionalFormatting sqref="C19:F20 C17:C18 E18:F18 F17 B17:B20">
    <cfRule type="cellIs" dxfId="9" priority="2" operator="greater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1F6A6-872A-B34A-AFD4-7AD2AF127CC1}">
  <sheetPr codeName="Sheet7"/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578B5-E9C3-A340-8A6A-850068194D2D}">
  <sheetPr codeName="Sheet5"/>
  <dimension ref="B3:AA23"/>
  <sheetViews>
    <sheetView zoomScale="57" workbookViewId="0">
      <selection activeCell="Z27" sqref="Z27"/>
    </sheetView>
  </sheetViews>
  <sheetFormatPr baseColWidth="10" defaultRowHeight="26"/>
  <cols>
    <col min="1" max="1" width="10.83203125" style="4"/>
    <col min="2" max="2" width="10.83203125" style="21"/>
    <col min="3" max="16384" width="10.83203125" style="4"/>
  </cols>
  <sheetData>
    <row r="3" spans="2:15" s="20" customFormat="1">
      <c r="B3" s="21"/>
      <c r="C3" s="20">
        <v>1</v>
      </c>
      <c r="D3" s="20">
        <f>C3+1</f>
        <v>2</v>
      </c>
      <c r="E3" s="20">
        <f t="shared" ref="E3:N3" si="0">D3+1</f>
        <v>3</v>
      </c>
      <c r="F3" s="20">
        <f t="shared" si="0"/>
        <v>4</v>
      </c>
      <c r="G3" s="20">
        <f t="shared" si="0"/>
        <v>5</v>
      </c>
      <c r="H3" s="20">
        <f t="shared" si="0"/>
        <v>6</v>
      </c>
      <c r="I3" s="20">
        <f t="shared" si="0"/>
        <v>7</v>
      </c>
      <c r="J3" s="20">
        <f t="shared" si="0"/>
        <v>8</v>
      </c>
      <c r="K3" s="20">
        <f t="shared" si="0"/>
        <v>9</v>
      </c>
      <c r="L3" s="20">
        <f t="shared" si="0"/>
        <v>10</v>
      </c>
      <c r="M3" s="20">
        <f t="shared" si="0"/>
        <v>11</v>
      </c>
      <c r="N3" s="20">
        <f t="shared" si="0"/>
        <v>12</v>
      </c>
      <c r="O3" s="20">
        <f>N3+1</f>
        <v>13</v>
      </c>
    </row>
    <row r="4" spans="2:15">
      <c r="B4" s="21">
        <v>1</v>
      </c>
      <c r="C4" s="19">
        <f t="shared" ref="C4:O4" si="1">$B4*C$3</f>
        <v>1</v>
      </c>
      <c r="D4" s="19">
        <f t="shared" si="1"/>
        <v>2</v>
      </c>
      <c r="E4" s="19">
        <f t="shared" si="1"/>
        <v>3</v>
      </c>
      <c r="F4" s="19">
        <f t="shared" si="1"/>
        <v>4</v>
      </c>
      <c r="G4" s="19">
        <f t="shared" si="1"/>
        <v>5</v>
      </c>
      <c r="H4" s="19">
        <f t="shared" si="1"/>
        <v>6</v>
      </c>
      <c r="I4" s="19">
        <f t="shared" si="1"/>
        <v>7</v>
      </c>
      <c r="J4" s="19">
        <f t="shared" si="1"/>
        <v>8</v>
      </c>
      <c r="K4" s="19">
        <f t="shared" si="1"/>
        <v>9</v>
      </c>
      <c r="L4" s="19">
        <f t="shared" si="1"/>
        <v>10</v>
      </c>
      <c r="M4" s="19">
        <f t="shared" si="1"/>
        <v>11</v>
      </c>
      <c r="N4" s="19">
        <f t="shared" si="1"/>
        <v>12</v>
      </c>
      <c r="O4" s="19">
        <f t="shared" si="1"/>
        <v>13</v>
      </c>
    </row>
    <row r="5" spans="2:15">
      <c r="B5" s="21">
        <f>B4+1</f>
        <v>2</v>
      </c>
      <c r="C5" s="19">
        <f t="shared" ref="C5:O16" si="2">$B5*C$3</f>
        <v>2</v>
      </c>
      <c r="D5" s="19">
        <f t="shared" si="2"/>
        <v>4</v>
      </c>
      <c r="E5" s="19">
        <f t="shared" si="2"/>
        <v>6</v>
      </c>
      <c r="F5" s="19">
        <f t="shared" si="2"/>
        <v>8</v>
      </c>
      <c r="G5" s="19">
        <f t="shared" si="2"/>
        <v>10</v>
      </c>
      <c r="H5" s="19">
        <f t="shared" si="2"/>
        <v>12</v>
      </c>
      <c r="I5" s="19">
        <f t="shared" si="2"/>
        <v>14</v>
      </c>
      <c r="J5" s="19">
        <f t="shared" si="2"/>
        <v>16</v>
      </c>
      <c r="K5" s="19">
        <f t="shared" si="2"/>
        <v>18</v>
      </c>
      <c r="L5" s="19">
        <f t="shared" si="2"/>
        <v>20</v>
      </c>
      <c r="M5" s="19">
        <f t="shared" si="2"/>
        <v>22</v>
      </c>
      <c r="N5" s="19">
        <f t="shared" si="2"/>
        <v>24</v>
      </c>
      <c r="O5" s="19">
        <f t="shared" si="2"/>
        <v>26</v>
      </c>
    </row>
    <row r="6" spans="2:15">
      <c r="B6" s="21">
        <f t="shared" ref="B6:B16" si="3">B5+1</f>
        <v>3</v>
      </c>
      <c r="C6" s="19">
        <f t="shared" si="2"/>
        <v>3</v>
      </c>
      <c r="D6" s="19">
        <f t="shared" si="2"/>
        <v>6</v>
      </c>
      <c r="E6" s="19">
        <f t="shared" si="2"/>
        <v>9</v>
      </c>
      <c r="F6" s="19">
        <f t="shared" si="2"/>
        <v>12</v>
      </c>
      <c r="G6" s="19">
        <f t="shared" si="2"/>
        <v>15</v>
      </c>
      <c r="H6" s="19">
        <f t="shared" si="2"/>
        <v>18</v>
      </c>
      <c r="I6" s="19">
        <f t="shared" si="2"/>
        <v>21</v>
      </c>
      <c r="J6" s="19">
        <f t="shared" si="2"/>
        <v>24</v>
      </c>
      <c r="K6" s="19">
        <f t="shared" si="2"/>
        <v>27</v>
      </c>
      <c r="L6" s="19">
        <f t="shared" si="2"/>
        <v>30</v>
      </c>
      <c r="M6" s="19">
        <f t="shared" si="2"/>
        <v>33</v>
      </c>
      <c r="N6" s="19">
        <f t="shared" si="2"/>
        <v>36</v>
      </c>
      <c r="O6" s="19">
        <f t="shared" si="2"/>
        <v>39</v>
      </c>
    </row>
    <row r="7" spans="2:15">
      <c r="B7" s="21">
        <f t="shared" si="3"/>
        <v>4</v>
      </c>
      <c r="C7" s="19">
        <f t="shared" si="2"/>
        <v>4</v>
      </c>
      <c r="D7" s="19">
        <f t="shared" si="2"/>
        <v>8</v>
      </c>
      <c r="E7" s="19">
        <f t="shared" si="2"/>
        <v>12</v>
      </c>
      <c r="F7" s="19">
        <f t="shared" si="2"/>
        <v>16</v>
      </c>
      <c r="G7" s="19">
        <f t="shared" si="2"/>
        <v>20</v>
      </c>
      <c r="H7" s="19">
        <f t="shared" si="2"/>
        <v>24</v>
      </c>
      <c r="I7" s="19">
        <f t="shared" si="2"/>
        <v>28</v>
      </c>
      <c r="J7" s="19">
        <f t="shared" si="2"/>
        <v>32</v>
      </c>
      <c r="K7" s="19">
        <f t="shared" si="2"/>
        <v>36</v>
      </c>
      <c r="L7" s="19">
        <f t="shared" si="2"/>
        <v>40</v>
      </c>
      <c r="M7" s="19">
        <f t="shared" si="2"/>
        <v>44</v>
      </c>
      <c r="N7" s="19">
        <f t="shared" si="2"/>
        <v>48</v>
      </c>
      <c r="O7" s="19">
        <f t="shared" si="2"/>
        <v>52</v>
      </c>
    </row>
    <row r="8" spans="2:15">
      <c r="B8" s="21">
        <f t="shared" si="3"/>
        <v>5</v>
      </c>
      <c r="C8" s="19">
        <f t="shared" si="2"/>
        <v>5</v>
      </c>
      <c r="D8" s="19">
        <f t="shared" si="2"/>
        <v>10</v>
      </c>
      <c r="E8" s="19">
        <f t="shared" si="2"/>
        <v>15</v>
      </c>
      <c r="F8" s="19">
        <f t="shared" si="2"/>
        <v>20</v>
      </c>
      <c r="G8" s="19">
        <f t="shared" si="2"/>
        <v>25</v>
      </c>
      <c r="H8" s="19">
        <f t="shared" si="2"/>
        <v>30</v>
      </c>
      <c r="I8" s="19">
        <f t="shared" si="2"/>
        <v>35</v>
      </c>
      <c r="J8" s="19">
        <f t="shared" si="2"/>
        <v>40</v>
      </c>
      <c r="K8" s="19">
        <f t="shared" si="2"/>
        <v>45</v>
      </c>
      <c r="L8" s="19">
        <f t="shared" si="2"/>
        <v>50</v>
      </c>
      <c r="M8" s="19">
        <f t="shared" si="2"/>
        <v>55</v>
      </c>
      <c r="N8" s="19">
        <f t="shared" si="2"/>
        <v>60</v>
      </c>
      <c r="O8" s="19">
        <f t="shared" si="2"/>
        <v>65</v>
      </c>
    </row>
    <row r="9" spans="2:15">
      <c r="B9" s="21">
        <f t="shared" si="3"/>
        <v>6</v>
      </c>
      <c r="C9" s="19">
        <f t="shared" si="2"/>
        <v>6</v>
      </c>
      <c r="D9" s="19">
        <f t="shared" si="2"/>
        <v>12</v>
      </c>
      <c r="E9" s="19">
        <f t="shared" si="2"/>
        <v>18</v>
      </c>
      <c r="F9" s="19">
        <f t="shared" si="2"/>
        <v>24</v>
      </c>
      <c r="G9" s="19">
        <f t="shared" si="2"/>
        <v>30</v>
      </c>
      <c r="H9" s="19">
        <f t="shared" si="2"/>
        <v>36</v>
      </c>
      <c r="I9" s="19">
        <f t="shared" si="2"/>
        <v>42</v>
      </c>
      <c r="J9" s="19">
        <f t="shared" si="2"/>
        <v>48</v>
      </c>
      <c r="K9" s="19">
        <f t="shared" si="2"/>
        <v>54</v>
      </c>
      <c r="L9" s="19">
        <f t="shared" si="2"/>
        <v>60</v>
      </c>
      <c r="M9" s="19">
        <f t="shared" si="2"/>
        <v>66</v>
      </c>
      <c r="N9" s="19">
        <f t="shared" si="2"/>
        <v>72</v>
      </c>
      <c r="O9" s="19">
        <f t="shared" si="2"/>
        <v>78</v>
      </c>
    </row>
    <row r="10" spans="2:15">
      <c r="B10" s="21">
        <f t="shared" si="3"/>
        <v>7</v>
      </c>
      <c r="C10" s="19">
        <f t="shared" si="2"/>
        <v>7</v>
      </c>
      <c r="D10" s="19">
        <f t="shared" si="2"/>
        <v>14</v>
      </c>
      <c r="E10" s="19">
        <f t="shared" si="2"/>
        <v>21</v>
      </c>
      <c r="F10" s="19">
        <f t="shared" si="2"/>
        <v>28</v>
      </c>
      <c r="G10" s="19">
        <f t="shared" si="2"/>
        <v>35</v>
      </c>
      <c r="H10" s="19">
        <f t="shared" si="2"/>
        <v>42</v>
      </c>
      <c r="I10" s="19">
        <f t="shared" si="2"/>
        <v>49</v>
      </c>
      <c r="J10" s="19">
        <f t="shared" si="2"/>
        <v>56</v>
      </c>
      <c r="K10" s="19">
        <f t="shared" si="2"/>
        <v>63</v>
      </c>
      <c r="L10" s="19">
        <f t="shared" si="2"/>
        <v>70</v>
      </c>
      <c r="M10" s="19">
        <f t="shared" si="2"/>
        <v>77</v>
      </c>
      <c r="N10" s="19">
        <f t="shared" si="2"/>
        <v>84</v>
      </c>
      <c r="O10" s="19">
        <f t="shared" si="2"/>
        <v>91</v>
      </c>
    </row>
    <row r="11" spans="2:15">
      <c r="B11" s="21">
        <f t="shared" si="3"/>
        <v>8</v>
      </c>
      <c r="C11" s="19">
        <f t="shared" si="2"/>
        <v>8</v>
      </c>
      <c r="D11" s="19">
        <f t="shared" si="2"/>
        <v>16</v>
      </c>
      <c r="E11" s="19">
        <f t="shared" si="2"/>
        <v>24</v>
      </c>
      <c r="F11" s="19">
        <f t="shared" si="2"/>
        <v>32</v>
      </c>
      <c r="G11" s="19">
        <f t="shared" si="2"/>
        <v>40</v>
      </c>
      <c r="H11" s="19">
        <f t="shared" si="2"/>
        <v>48</v>
      </c>
      <c r="I11" s="19">
        <f t="shared" si="2"/>
        <v>56</v>
      </c>
      <c r="J11" s="19">
        <f t="shared" si="2"/>
        <v>64</v>
      </c>
      <c r="K11" s="19">
        <f t="shared" si="2"/>
        <v>72</v>
      </c>
      <c r="L11" s="19">
        <f t="shared" si="2"/>
        <v>80</v>
      </c>
      <c r="M11" s="19">
        <f t="shared" si="2"/>
        <v>88</v>
      </c>
      <c r="N11" s="19">
        <f t="shared" si="2"/>
        <v>96</v>
      </c>
      <c r="O11" s="19">
        <f t="shared" si="2"/>
        <v>104</v>
      </c>
    </row>
    <row r="12" spans="2:15">
      <c r="B12" s="21">
        <f t="shared" si="3"/>
        <v>9</v>
      </c>
      <c r="C12" s="19">
        <f t="shared" si="2"/>
        <v>9</v>
      </c>
      <c r="D12" s="19">
        <f t="shared" si="2"/>
        <v>18</v>
      </c>
      <c r="E12" s="19">
        <f t="shared" si="2"/>
        <v>27</v>
      </c>
      <c r="F12" s="19">
        <f t="shared" si="2"/>
        <v>36</v>
      </c>
      <c r="G12" s="19">
        <f t="shared" si="2"/>
        <v>45</v>
      </c>
      <c r="H12" s="19">
        <f t="shared" si="2"/>
        <v>54</v>
      </c>
      <c r="I12" s="19">
        <f t="shared" si="2"/>
        <v>63</v>
      </c>
      <c r="J12" s="19">
        <f t="shared" si="2"/>
        <v>72</v>
      </c>
      <c r="K12" s="19">
        <f t="shared" si="2"/>
        <v>81</v>
      </c>
      <c r="L12" s="19">
        <f t="shared" si="2"/>
        <v>90</v>
      </c>
      <c r="M12" s="19">
        <f t="shared" si="2"/>
        <v>99</v>
      </c>
      <c r="N12" s="19">
        <f t="shared" si="2"/>
        <v>108</v>
      </c>
      <c r="O12" s="19">
        <f t="shared" si="2"/>
        <v>117</v>
      </c>
    </row>
    <row r="13" spans="2:15">
      <c r="B13" s="21">
        <f t="shared" si="3"/>
        <v>10</v>
      </c>
      <c r="C13" s="19">
        <f t="shared" si="2"/>
        <v>10</v>
      </c>
      <c r="D13" s="19">
        <f t="shared" si="2"/>
        <v>20</v>
      </c>
      <c r="E13" s="19">
        <f t="shared" si="2"/>
        <v>30</v>
      </c>
      <c r="F13" s="19">
        <f t="shared" si="2"/>
        <v>40</v>
      </c>
      <c r="G13" s="19">
        <f t="shared" si="2"/>
        <v>50</v>
      </c>
      <c r="H13" s="19">
        <f t="shared" si="2"/>
        <v>60</v>
      </c>
      <c r="I13" s="19">
        <f t="shared" si="2"/>
        <v>70</v>
      </c>
      <c r="J13" s="19">
        <f t="shared" si="2"/>
        <v>80</v>
      </c>
      <c r="K13" s="19">
        <f t="shared" si="2"/>
        <v>90</v>
      </c>
      <c r="L13" s="19">
        <f t="shared" si="2"/>
        <v>100</v>
      </c>
      <c r="M13" s="19">
        <f t="shared" si="2"/>
        <v>110</v>
      </c>
      <c r="N13" s="19">
        <f t="shared" si="2"/>
        <v>120</v>
      </c>
      <c r="O13" s="19">
        <f t="shared" si="2"/>
        <v>130</v>
      </c>
    </row>
    <row r="14" spans="2:15">
      <c r="B14" s="21">
        <f t="shared" si="3"/>
        <v>11</v>
      </c>
      <c r="C14" s="19">
        <f t="shared" si="2"/>
        <v>11</v>
      </c>
      <c r="D14" s="19">
        <f t="shared" si="2"/>
        <v>22</v>
      </c>
      <c r="E14" s="19">
        <f t="shared" si="2"/>
        <v>33</v>
      </c>
      <c r="F14" s="19">
        <f t="shared" si="2"/>
        <v>44</v>
      </c>
      <c r="G14" s="19">
        <f t="shared" si="2"/>
        <v>55</v>
      </c>
      <c r="H14" s="19">
        <f t="shared" si="2"/>
        <v>66</v>
      </c>
      <c r="I14" s="19">
        <f t="shared" si="2"/>
        <v>77</v>
      </c>
      <c r="J14" s="19">
        <f t="shared" si="2"/>
        <v>88</v>
      </c>
      <c r="K14" s="19">
        <f t="shared" si="2"/>
        <v>99</v>
      </c>
      <c r="L14" s="19">
        <f t="shared" si="2"/>
        <v>110</v>
      </c>
      <c r="M14" s="19">
        <f t="shared" si="2"/>
        <v>121</v>
      </c>
      <c r="N14" s="19">
        <f t="shared" si="2"/>
        <v>132</v>
      </c>
      <c r="O14" s="19">
        <f t="shared" si="2"/>
        <v>143</v>
      </c>
    </row>
    <row r="15" spans="2:15">
      <c r="B15" s="21">
        <f t="shared" si="3"/>
        <v>12</v>
      </c>
      <c r="C15" s="19">
        <f t="shared" si="2"/>
        <v>12</v>
      </c>
      <c r="D15" s="19">
        <f t="shared" si="2"/>
        <v>24</v>
      </c>
      <c r="E15" s="19">
        <f t="shared" si="2"/>
        <v>36</v>
      </c>
      <c r="F15" s="19">
        <f t="shared" si="2"/>
        <v>48</v>
      </c>
      <c r="G15" s="19">
        <f t="shared" si="2"/>
        <v>60</v>
      </c>
      <c r="H15" s="19">
        <f t="shared" si="2"/>
        <v>72</v>
      </c>
      <c r="I15" s="19">
        <f t="shared" si="2"/>
        <v>84</v>
      </c>
      <c r="J15" s="19">
        <f t="shared" si="2"/>
        <v>96</v>
      </c>
      <c r="K15" s="19">
        <f t="shared" si="2"/>
        <v>108</v>
      </c>
      <c r="L15" s="19">
        <f t="shared" si="2"/>
        <v>120</v>
      </c>
      <c r="M15" s="19">
        <f t="shared" si="2"/>
        <v>132</v>
      </c>
      <c r="N15" s="19">
        <f t="shared" si="2"/>
        <v>144</v>
      </c>
      <c r="O15" s="19">
        <f t="shared" si="2"/>
        <v>156</v>
      </c>
    </row>
    <row r="16" spans="2:15">
      <c r="B16" s="21">
        <f t="shared" si="3"/>
        <v>13</v>
      </c>
      <c r="C16" s="19">
        <f t="shared" si="2"/>
        <v>13</v>
      </c>
      <c r="D16" s="19">
        <f t="shared" si="2"/>
        <v>26</v>
      </c>
      <c r="E16" s="19">
        <f t="shared" si="2"/>
        <v>39</v>
      </c>
      <c r="F16" s="19">
        <f t="shared" si="2"/>
        <v>52</v>
      </c>
      <c r="G16" s="19">
        <f t="shared" si="2"/>
        <v>65</v>
      </c>
      <c r="H16" s="19">
        <f t="shared" si="2"/>
        <v>78</v>
      </c>
      <c r="I16" s="19">
        <f t="shared" si="2"/>
        <v>91</v>
      </c>
      <c r="J16" s="19">
        <f t="shared" si="2"/>
        <v>104</v>
      </c>
      <c r="K16" s="19">
        <f t="shared" si="2"/>
        <v>117</v>
      </c>
      <c r="L16" s="19">
        <f t="shared" si="2"/>
        <v>130</v>
      </c>
      <c r="M16" s="19">
        <f t="shared" si="2"/>
        <v>143</v>
      </c>
      <c r="N16" s="19">
        <f t="shared" si="2"/>
        <v>156</v>
      </c>
      <c r="O16" s="19">
        <f t="shared" si="2"/>
        <v>169</v>
      </c>
    </row>
    <row r="21" spans="4:27">
      <c r="D21" s="19" t="s">
        <v>10</v>
      </c>
      <c r="E21" s="19" t="s">
        <v>10</v>
      </c>
      <c r="F21" s="19"/>
      <c r="Q21" s="4" t="s">
        <v>18</v>
      </c>
      <c r="R21" s="4" t="s">
        <v>19</v>
      </c>
      <c r="S21" s="4" t="s">
        <v>18</v>
      </c>
      <c r="T21" s="4" t="s">
        <v>19</v>
      </c>
      <c r="U21" s="4" t="s">
        <v>18</v>
      </c>
      <c r="V21" s="4" t="s">
        <v>19</v>
      </c>
      <c r="W21" s="4" t="s">
        <v>18</v>
      </c>
      <c r="X21" s="4" t="s">
        <v>19</v>
      </c>
      <c r="Y21" s="4" t="s">
        <v>18</v>
      </c>
      <c r="Z21" s="4" t="s">
        <v>19</v>
      </c>
      <c r="AA21" s="4" t="s">
        <v>18</v>
      </c>
    </row>
    <row r="22" spans="4:27">
      <c r="D22" s="19" t="s">
        <v>6</v>
      </c>
      <c r="E22" s="19" t="s">
        <v>6</v>
      </c>
      <c r="F22" s="19"/>
      <c r="Q22" s="4">
        <f>CODE(Q21)</f>
        <v>65</v>
      </c>
      <c r="R22" s="4">
        <f t="shared" ref="R22:AA22" si="4">CODE(R21)</f>
        <v>66</v>
      </c>
      <c r="S22" s="4">
        <f t="shared" si="4"/>
        <v>65</v>
      </c>
      <c r="T22" s="4">
        <f t="shared" si="4"/>
        <v>66</v>
      </c>
      <c r="U22" s="4">
        <f t="shared" si="4"/>
        <v>65</v>
      </c>
      <c r="V22" s="4">
        <f t="shared" si="4"/>
        <v>66</v>
      </c>
      <c r="W22" s="4">
        <f t="shared" si="4"/>
        <v>65</v>
      </c>
      <c r="X22" s="4">
        <f t="shared" si="4"/>
        <v>66</v>
      </c>
      <c r="Y22" s="4">
        <f t="shared" si="4"/>
        <v>65</v>
      </c>
      <c r="Z22" s="4">
        <f t="shared" si="4"/>
        <v>66</v>
      </c>
      <c r="AA22" s="4">
        <f t="shared" si="4"/>
        <v>65</v>
      </c>
    </row>
    <row r="23" spans="4:27">
      <c r="D23" s="19"/>
      <c r="E23" s="19" t="s">
        <v>6</v>
      </c>
      <c r="F23" s="1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49AC7-2FE3-6741-A99B-CECF12D33C66}">
  <sheetPr codeName="Sheet11"/>
  <dimension ref="B1:U10"/>
  <sheetViews>
    <sheetView workbookViewId="0"/>
  </sheetViews>
  <sheetFormatPr baseColWidth="10" defaultColWidth="3" defaultRowHeight="29"/>
  <cols>
    <col min="2" max="10" width="7.6640625" style="60" customWidth="1"/>
    <col min="12" max="12" width="29.83203125" customWidth="1"/>
  </cols>
  <sheetData>
    <row r="1" spans="2:21" ht="30" thickBot="1">
      <c r="S1" s="61" t="b">
        <v>0</v>
      </c>
      <c r="T1" s="61">
        <v>1</v>
      </c>
      <c r="U1" s="61">
        <v>1</v>
      </c>
    </row>
    <row r="2" spans="2:21">
      <c r="B2" s="62">
        <v>2</v>
      </c>
      <c r="C2" s="63">
        <v>1</v>
      </c>
      <c r="D2" s="64">
        <v>6</v>
      </c>
      <c r="E2" s="62">
        <v>9</v>
      </c>
      <c r="F2" s="63">
        <v>3</v>
      </c>
      <c r="G2" s="64">
        <v>8</v>
      </c>
      <c r="H2" s="62">
        <v>7</v>
      </c>
      <c r="I2" s="63">
        <v>5</v>
      </c>
      <c r="J2" s="64">
        <v>4</v>
      </c>
    </row>
    <row r="3" spans="2:21">
      <c r="B3" s="65">
        <v>7</v>
      </c>
      <c r="C3" s="66">
        <v>9</v>
      </c>
      <c r="D3" s="67">
        <v>8</v>
      </c>
      <c r="E3" s="65">
        <v>6</v>
      </c>
      <c r="F3" s="66">
        <v>5</v>
      </c>
      <c r="G3" s="67">
        <v>4</v>
      </c>
      <c r="H3" s="65">
        <v>1</v>
      </c>
      <c r="I3" s="66">
        <v>3</v>
      </c>
      <c r="J3" s="67">
        <v>2</v>
      </c>
    </row>
    <row r="4" spans="2:21" ht="30" thickBot="1">
      <c r="B4" s="68">
        <v>5</v>
      </c>
      <c r="C4" s="69">
        <v>3</v>
      </c>
      <c r="D4" s="70">
        <v>4</v>
      </c>
      <c r="E4" s="68">
        <v>2</v>
      </c>
      <c r="F4" s="69">
        <v>1</v>
      </c>
      <c r="G4" s="70">
        <v>7</v>
      </c>
      <c r="H4" s="68">
        <v>9</v>
      </c>
      <c r="I4" s="69">
        <v>8</v>
      </c>
      <c r="J4" s="70">
        <v>6</v>
      </c>
    </row>
    <row r="5" spans="2:21">
      <c r="B5" s="62">
        <v>4</v>
      </c>
      <c r="C5" s="63">
        <v>8</v>
      </c>
      <c r="D5" s="64">
        <v>9</v>
      </c>
      <c r="E5" s="62">
        <v>7</v>
      </c>
      <c r="F5" s="63">
        <v>2</v>
      </c>
      <c r="G5" s="64">
        <v>1</v>
      </c>
      <c r="H5" s="62">
        <v>3</v>
      </c>
      <c r="I5" s="63">
        <v>6</v>
      </c>
      <c r="J5" s="64">
        <v>5</v>
      </c>
    </row>
    <row r="6" spans="2:21">
      <c r="B6" s="65">
        <v>1</v>
      </c>
      <c r="C6" s="66">
        <v>7</v>
      </c>
      <c r="D6" s="67">
        <v>2</v>
      </c>
      <c r="E6" s="65">
        <v>5</v>
      </c>
      <c r="F6" s="66">
        <v>6</v>
      </c>
      <c r="G6" s="67">
        <v>3</v>
      </c>
      <c r="H6" s="65">
        <v>8</v>
      </c>
      <c r="I6" s="66">
        <v>4</v>
      </c>
      <c r="J6" s="67">
        <v>9</v>
      </c>
    </row>
    <row r="7" spans="2:21" ht="30" thickBot="1">
      <c r="B7" s="68">
        <v>6</v>
      </c>
      <c r="C7" s="69">
        <v>5</v>
      </c>
      <c r="D7" s="70">
        <v>3</v>
      </c>
      <c r="E7" s="68">
        <v>8</v>
      </c>
      <c r="F7" s="69">
        <v>4</v>
      </c>
      <c r="G7" s="70">
        <v>9</v>
      </c>
      <c r="H7" s="68">
        <v>2</v>
      </c>
      <c r="I7" s="69">
        <v>7</v>
      </c>
      <c r="J7" s="70">
        <v>1</v>
      </c>
    </row>
    <row r="8" spans="2:21">
      <c r="B8" s="62">
        <v>9</v>
      </c>
      <c r="C8" s="63">
        <v>4</v>
      </c>
      <c r="D8" s="64">
        <v>7</v>
      </c>
      <c r="E8" s="62">
        <v>1</v>
      </c>
      <c r="F8" s="63">
        <v>8</v>
      </c>
      <c r="G8" s="64">
        <v>5</v>
      </c>
      <c r="H8" s="62">
        <v>6</v>
      </c>
      <c r="I8" s="63">
        <v>2</v>
      </c>
      <c r="J8" s="64">
        <v>3</v>
      </c>
    </row>
    <row r="9" spans="2:21">
      <c r="B9" s="65">
        <v>8</v>
      </c>
      <c r="C9" s="66">
        <v>6</v>
      </c>
      <c r="D9" s="67">
        <v>5</v>
      </c>
      <c r="E9" s="65">
        <v>3</v>
      </c>
      <c r="F9" s="66">
        <v>9</v>
      </c>
      <c r="G9" s="67">
        <v>2</v>
      </c>
      <c r="H9" s="65">
        <v>4</v>
      </c>
      <c r="I9" s="66">
        <v>1</v>
      </c>
      <c r="J9" s="67">
        <v>7</v>
      </c>
    </row>
    <row r="10" spans="2:21" ht="30" thickBot="1">
      <c r="B10" s="68">
        <v>3</v>
      </c>
      <c r="C10" s="69">
        <v>2</v>
      </c>
      <c r="D10" s="70">
        <v>1</v>
      </c>
      <c r="E10" s="68">
        <v>4</v>
      </c>
      <c r="F10" s="69">
        <v>7</v>
      </c>
      <c r="G10" s="70">
        <v>6</v>
      </c>
      <c r="H10" s="68">
        <v>5</v>
      </c>
      <c r="I10" s="69">
        <v>9</v>
      </c>
      <c r="J10" s="70">
        <v>8</v>
      </c>
    </row>
  </sheetData>
  <protectedRanges>
    <protectedRange sqref="B2:J10" name="Grid"/>
  </protectedRanges>
  <conditionalFormatting sqref="B2:J10">
    <cfRule type="expression" dxfId="8" priority="3">
      <formula>AND(B2=HighlightNumber,AidCode=2)</formula>
    </cfRule>
    <cfRule type="expression" dxfId="7" priority="6">
      <formula>AND($S$1=TRUE,ROW(B2)=$U$1)</formula>
    </cfRule>
    <cfRule type="expression" dxfId="6" priority="7">
      <formula>AND($S$1=TRUE,COLUMN(B2)=$T$1)</formula>
    </cfRule>
    <cfRule type="expression" dxfId="5" priority="8">
      <formula>AND($S$1=TRUE,TRUNC((ROW(B2)-2)/3,0)=TRUNC(($U$1-2)/3,0),TRUNC((COLUMN(B2)-2)/3,0)=TRUNC(($T$1-2)/3,0))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1]!SolveGridOnScreen">
                <anchor moveWithCells="1" sizeWithCells="1">
                  <from>
                    <xdr:col>11</xdr:col>
                    <xdr:colOff>304800</xdr:colOff>
                    <xdr:row>7</xdr:row>
                    <xdr:rowOff>317500</xdr:rowOff>
                  </from>
                  <to>
                    <xdr:col>17</xdr:col>
                    <xdr:colOff>76200</xdr:colOff>
                    <xdr:row>8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1]!CreateMediumPuzzle">
                <anchor moveWithCells="1">
                  <from>
                    <xdr:col>11</xdr:col>
                    <xdr:colOff>215900</xdr:colOff>
                    <xdr:row>2</xdr:row>
                    <xdr:rowOff>330200</xdr:rowOff>
                  </from>
                  <to>
                    <xdr:col>11</xdr:col>
                    <xdr:colOff>457200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CreateEasyPuzzle">
                <anchor moveWithCells="1">
                  <from>
                    <xdr:col>11</xdr:col>
                    <xdr:colOff>215900</xdr:colOff>
                    <xdr:row>2</xdr:row>
                    <xdr:rowOff>25400</xdr:rowOff>
                  </from>
                  <to>
                    <xdr:col>11</xdr:col>
                    <xdr:colOff>457200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1]!CreateHardPuzzle">
                <anchor moveWithCells="1">
                  <from>
                    <xdr:col>11</xdr:col>
                    <xdr:colOff>215900</xdr:colOff>
                    <xdr:row>3</xdr:row>
                    <xdr:rowOff>279400</xdr:rowOff>
                  </from>
                  <to>
                    <xdr:col>11</xdr:col>
                    <xdr:colOff>457200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1]!CreateExpertPuzzle">
                <anchor moveWithCells="1">
                  <from>
                    <xdr:col>11</xdr:col>
                    <xdr:colOff>215900</xdr:colOff>
                    <xdr:row>4</xdr:row>
                    <xdr:rowOff>215900</xdr:rowOff>
                  </from>
                  <to>
                    <xdr:col>11</xdr:col>
                    <xdr:colOff>457200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Button 6">
              <controlPr defaultSize="0" print="0" autoFill="0" autoPict="0" macro="[1]!CreateExtremePuzzle">
                <anchor moveWithCells="1">
                  <from>
                    <xdr:col>11</xdr:col>
                    <xdr:colOff>215900</xdr:colOff>
                    <xdr:row>5</xdr:row>
                    <xdr:rowOff>152400</xdr:rowOff>
                  </from>
                  <to>
                    <xdr:col>11</xdr:col>
                    <xdr:colOff>457200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Button 7">
              <controlPr defaultSize="0" print="0" autoFill="0" autoPict="0" macro="[1]!CreateOhDearPuzzle">
                <anchor moveWithCells="1">
                  <from>
                    <xdr:col>11</xdr:col>
                    <xdr:colOff>215900</xdr:colOff>
                    <xdr:row>6</xdr:row>
                    <xdr:rowOff>101600</xdr:rowOff>
                  </from>
                  <to>
                    <xdr:col>11</xdr:col>
                    <xdr:colOff>457200</xdr:colOff>
                    <xdr:row>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Button 8">
              <controlPr defaultSize="0" print="0" autoFill="0" autoPict="0" macro="[1]!Help">
                <anchor moveWithCells="1" sizeWithCells="1">
                  <from>
                    <xdr:col>12</xdr:col>
                    <xdr:colOff>25400</xdr:colOff>
                    <xdr:row>5</xdr:row>
                    <xdr:rowOff>165100</xdr:rowOff>
                  </from>
                  <to>
                    <xdr:col>17</xdr:col>
                    <xdr:colOff>114300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Button 9">
              <controlPr defaultSize="0" print="0" autoFill="0" autoPict="0" macro="[1]!UnSolve">
                <anchor moveWithCells="1" sizeWithCells="1">
                  <from>
                    <xdr:col>11</xdr:col>
                    <xdr:colOff>304800</xdr:colOff>
                    <xdr:row>8</xdr:row>
                    <xdr:rowOff>317500</xdr:rowOff>
                  </from>
                  <to>
                    <xdr:col>11</xdr:col>
                    <xdr:colOff>1397000</xdr:colOff>
                    <xdr:row>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Button 10">
              <controlPr defaultSize="0" print="0" autoFill="0" autoPict="0" macro="[1]!Check">
                <anchor moveWithCells="1">
                  <from>
                    <xdr:col>12</xdr:col>
                    <xdr:colOff>25400</xdr:colOff>
                    <xdr:row>2</xdr:row>
                    <xdr:rowOff>330200</xdr:rowOff>
                  </from>
                  <to>
                    <xdr:col>14</xdr:col>
                    <xdr:colOff>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Button 11">
              <controlPr defaultSize="0" print="0" autoFill="0" autoPict="0" macro="[1]!RemoveAids">
                <anchor moveWithCells="1">
                  <from>
                    <xdr:col>12</xdr:col>
                    <xdr:colOff>25400</xdr:colOff>
                    <xdr:row>2</xdr:row>
                    <xdr:rowOff>25400</xdr:rowOff>
                  </from>
                  <to>
                    <xdr:col>14</xdr:col>
                    <xdr:colOff>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4" name="Button 12">
              <controlPr defaultSize="0" print="0" autoFill="0" autoPict="0" macro="[1]!Highlight">
                <anchor moveWithCells="1">
                  <from>
                    <xdr:col>12</xdr:col>
                    <xdr:colOff>25400</xdr:colOff>
                    <xdr:row>3</xdr:row>
                    <xdr:rowOff>292100</xdr:rowOff>
                  </from>
                  <to>
                    <xdr:col>14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5" name="Button 13">
              <controlPr defaultSize="0" print="0" autoFill="0" autoPict="0" macro="[1]!NextMove">
                <anchor moveWithCells="1">
                  <from>
                    <xdr:col>12</xdr:col>
                    <xdr:colOff>25400</xdr:colOff>
                    <xdr:row>4</xdr:row>
                    <xdr:rowOff>215900</xdr:rowOff>
                  </from>
                  <to>
                    <xdr:col>14</xdr:col>
                    <xdr:colOff>0</xdr:colOff>
                    <xdr:row>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6" name="Button 14">
              <controlPr defaultSize="0" print="0" autoFill="0" autoPict="0" macro="[1]!Reset">
                <anchor moveWithCells="1" sizeWithCells="1">
                  <from>
                    <xdr:col>11</xdr:col>
                    <xdr:colOff>1651000</xdr:colOff>
                    <xdr:row>8</xdr:row>
                    <xdr:rowOff>317500</xdr:rowOff>
                  </from>
                  <to>
                    <xdr:col>17</xdr:col>
                    <xdr:colOff>76200</xdr:colOff>
                    <xdr:row>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7" name="Check Box 15">
              <controlPr defaultSize="0" autoFill="0" autoLine="0" autoPict="0">
                <anchor moveWithCells="1">
                  <from>
                    <xdr:col>12</xdr:col>
                    <xdr:colOff>25400</xdr:colOff>
                    <xdr:row>6</xdr:row>
                    <xdr:rowOff>139700</xdr:rowOff>
                  </from>
                  <to>
                    <xdr:col>14</xdr:col>
                    <xdr:colOff>0</xdr:colOff>
                    <xdr:row>7</xdr:row>
                    <xdr:rowOff>355600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C89F336-3422-BD4F-8639-2017B9662EA2}">
            <xm:f>AND(B2&lt;&gt;'/Applications/MAMP/htdocs/classes/csci8_chabot/my.midterm/exCel/[Sudoku-Puzzle-Creator.xlsm]Debug'!#REF!,AidCode=1)</xm:f>
            <x14:dxf>
              <font>
                <color rgb="FFC00000"/>
              </font>
              <fill>
                <patternFill>
                  <bgColor theme="0"/>
                </patternFill>
              </fill>
            </x14:dxf>
          </x14:cfRule>
          <x14:cfRule type="expression" priority="2" id="{EA676089-0803-AC45-AEE9-4F4F3B29C206}">
            <xm:f>AND('/Applications/MAMP/htdocs/classes/csci8_chabot/my.midterm/exCel/[Sudoku-Puzzle-Creator.xlsm]Debug'!#REF!=1,AidCode=3)</xm:f>
            <x14:dxf>
              <fill>
                <patternFill>
                  <bgColor theme="7" tint="0.59996337778862885"/>
                </patternFill>
              </fill>
            </x14:dxf>
          </x14:cfRule>
          <xm:sqref>B2:J10</xm:sqref>
        </x14:conditionalFormatting>
        <x14:conditionalFormatting xmlns:xm="http://schemas.microsoft.com/office/excel/2006/main">
          <x14:cfRule type="expression" priority="4" id="{CABBC585-8357-C946-9E2A-9361FBFF0126}">
            <xm:f>AND(AidCode=3,'/Applications/MAMP/htdocs/classes/csci8_chabot/my.midterm/exCel/[Sudoku-Puzzle-Creator.xlsm]Debug'!#REF!&lt;&gt;"")</xm:f>
            <x14:dxf>
              <fill>
                <patternFill>
                  <bgColor theme="6" tint="0.59996337778862885"/>
                </patternFill>
              </fill>
            </x14:dxf>
          </x14:cfRule>
          <x14:cfRule type="expression" priority="5" id="{ACA5C1B1-17B1-1B48-8905-1B5E4831BF52}">
            <xm:f>AND(B2='/Applications/MAMP/htdocs/classes/csci8_chabot/my.midterm/exCel/[Sudoku-Puzzle-Creator.xlsm]Debug'!#REF!,AidCode=1)</xm:f>
            <x14:dxf>
              <font>
                <color rgb="FF00B050"/>
              </font>
            </x14:dxf>
          </x14:cfRule>
          <xm:sqref>B2:J10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57C85-510C-F042-BA8A-B9DD5D955AA4}">
  <sheetPr codeName="Sheet10"/>
  <dimension ref="A1:Y24"/>
  <sheetViews>
    <sheetView topLeftCell="A10" zoomScale="125" workbookViewId="0">
      <selection activeCell="R23" sqref="R23"/>
    </sheetView>
  </sheetViews>
  <sheetFormatPr baseColWidth="10" defaultRowHeight="16"/>
  <cols>
    <col min="1" max="2" width="4.1640625" style="48" bestFit="1" customWidth="1"/>
    <col min="3" max="6" width="3.1640625" style="48" bestFit="1" customWidth="1"/>
    <col min="7" max="9" width="4.1640625" style="48" bestFit="1" customWidth="1"/>
    <col min="10" max="10" width="3.1640625" style="48" bestFit="1" customWidth="1"/>
    <col min="11" max="11" width="4.6640625" style="48" bestFit="1" customWidth="1"/>
    <col min="12" max="12" width="5.1640625" style="48" bestFit="1" customWidth="1"/>
    <col min="13" max="16384" width="10.83203125" style="48"/>
  </cols>
  <sheetData>
    <row r="1" spans="1:25">
      <c r="A1" s="48">
        <v>1</v>
      </c>
      <c r="B1" s="48">
        <v>2</v>
      </c>
      <c r="C1" s="48">
        <v>3</v>
      </c>
      <c r="D1" s="48">
        <v>4</v>
      </c>
      <c r="E1" s="48">
        <v>5</v>
      </c>
      <c r="F1" s="48">
        <v>6</v>
      </c>
      <c r="G1" s="48">
        <v>7</v>
      </c>
      <c r="H1" s="48">
        <v>8</v>
      </c>
      <c r="I1" s="48">
        <v>9</v>
      </c>
      <c r="J1" s="48">
        <v>10</v>
      </c>
      <c r="K1" s="48" t="s">
        <v>21</v>
      </c>
      <c r="L1" s="48" t="s">
        <v>22</v>
      </c>
    </row>
    <row r="2" spans="1:25">
      <c r="A2" s="57">
        <v>92</v>
      </c>
      <c r="B2" s="57">
        <v>62</v>
      </c>
      <c r="C2" s="57">
        <v>82</v>
      </c>
      <c r="D2" s="57">
        <v>98</v>
      </c>
      <c r="E2" s="57">
        <v>61</v>
      </c>
      <c r="F2" s="57">
        <v>96</v>
      </c>
      <c r="G2" s="57">
        <v>74</v>
      </c>
      <c r="H2" s="57">
        <v>86</v>
      </c>
      <c r="I2" s="57">
        <v>75</v>
      </c>
      <c r="J2" s="57">
        <v>90</v>
      </c>
      <c r="K2" s="48">
        <f>SUM(A2:J2)</f>
        <v>816</v>
      </c>
      <c r="L2" s="48">
        <f>AVERAGE(A2:J2)</f>
        <v>81.599999999999994</v>
      </c>
    </row>
    <row r="3" spans="1:25">
      <c r="A3" s="57">
        <v>71</v>
      </c>
      <c r="B3" s="57">
        <v>67</v>
      </c>
      <c r="C3" s="57">
        <v>83</v>
      </c>
      <c r="D3" s="57">
        <v>69</v>
      </c>
      <c r="E3" s="57">
        <v>71</v>
      </c>
      <c r="F3" s="57">
        <v>80</v>
      </c>
      <c r="G3" s="57">
        <v>87</v>
      </c>
      <c r="H3" s="57">
        <v>63</v>
      </c>
      <c r="I3" s="57">
        <v>100</v>
      </c>
      <c r="J3" s="57">
        <v>70</v>
      </c>
      <c r="K3" s="48">
        <f>SUM(A3:J3)</f>
        <v>761</v>
      </c>
      <c r="L3" s="48">
        <f t="shared" ref="L3:L19" si="0">AVERAGE(A3:J3)</f>
        <v>76.099999999999994</v>
      </c>
      <c r="S3" s="103" t="s">
        <v>23</v>
      </c>
      <c r="T3" s="103"/>
      <c r="U3" s="103"/>
    </row>
    <row r="4" spans="1:25">
      <c r="A4" s="57">
        <v>66</v>
      </c>
      <c r="B4" s="57">
        <v>100</v>
      </c>
      <c r="C4" s="57">
        <v>98</v>
      </c>
      <c r="D4" s="57">
        <v>64</v>
      </c>
      <c r="E4" s="57">
        <v>79</v>
      </c>
      <c r="F4" s="57">
        <v>65</v>
      </c>
      <c r="G4" s="57">
        <v>86</v>
      </c>
      <c r="H4" s="57">
        <v>74</v>
      </c>
      <c r="I4" s="57">
        <v>63</v>
      </c>
      <c r="J4" s="57">
        <v>78</v>
      </c>
      <c r="K4" s="48">
        <f t="shared" ref="K4:K19" si="1">SUM(A4:J4)</f>
        <v>773</v>
      </c>
      <c r="L4" s="48">
        <f t="shared" si="0"/>
        <v>77.3</v>
      </c>
      <c r="S4" s="52" t="b">
        <f t="shared" ref="S4:U6" si="2">AND($P22&lt;&gt;"",$P22=$Q22,$Q22=$R22)</f>
        <v>1</v>
      </c>
      <c r="T4" s="52" t="b">
        <f t="shared" si="2"/>
        <v>1</v>
      </c>
      <c r="U4" s="52" t="b">
        <f t="shared" si="2"/>
        <v>1</v>
      </c>
      <c r="W4" s="52" t="b">
        <f t="shared" ref="W4:Y6" si="3">AND(P22&lt;&gt;"",OR(S4,S8,S12) )</f>
        <v>1</v>
      </c>
      <c r="X4" s="52" t="b">
        <f t="shared" si="3"/>
        <v>1</v>
      </c>
      <c r="Y4" s="52" t="b">
        <f t="shared" si="3"/>
        <v>1</v>
      </c>
    </row>
    <row r="5" spans="1:25">
      <c r="A5" s="57">
        <v>96</v>
      </c>
      <c r="B5" s="57">
        <v>65</v>
      </c>
      <c r="C5" s="57">
        <v>81</v>
      </c>
      <c r="D5" s="57">
        <v>91</v>
      </c>
      <c r="E5" s="57">
        <v>60</v>
      </c>
      <c r="F5" s="57">
        <v>93</v>
      </c>
      <c r="G5" s="57">
        <v>62</v>
      </c>
      <c r="H5" s="57">
        <v>69</v>
      </c>
      <c r="I5" s="57">
        <v>61</v>
      </c>
      <c r="J5" s="57">
        <v>86</v>
      </c>
      <c r="K5" s="48">
        <f t="shared" si="1"/>
        <v>764</v>
      </c>
      <c r="L5" s="48">
        <f t="shared" si="0"/>
        <v>76.400000000000006</v>
      </c>
      <c r="S5" s="52" t="b">
        <f t="shared" si="2"/>
        <v>0</v>
      </c>
      <c r="T5" s="52" t="b">
        <f t="shared" si="2"/>
        <v>0</v>
      </c>
      <c r="U5" s="52" t="b">
        <f t="shared" si="2"/>
        <v>0</v>
      </c>
      <c r="W5" s="52" t="b">
        <f t="shared" si="3"/>
        <v>0</v>
      </c>
      <c r="X5" s="52" t="b">
        <f t="shared" si="3"/>
        <v>0</v>
      </c>
      <c r="Y5" s="52" t="b">
        <f t="shared" si="3"/>
        <v>0</v>
      </c>
    </row>
    <row r="6" spans="1:25">
      <c r="A6" s="57">
        <v>62</v>
      </c>
      <c r="B6" s="57">
        <v>71</v>
      </c>
      <c r="C6" s="57">
        <v>89</v>
      </c>
      <c r="D6" s="57">
        <v>60</v>
      </c>
      <c r="E6" s="57">
        <v>60</v>
      </c>
      <c r="F6" s="57">
        <v>70</v>
      </c>
      <c r="G6" s="57">
        <v>65</v>
      </c>
      <c r="H6" s="57">
        <v>67</v>
      </c>
      <c r="I6" s="57">
        <v>86</v>
      </c>
      <c r="J6" s="57">
        <v>95</v>
      </c>
      <c r="K6" s="48">
        <f t="shared" si="1"/>
        <v>725</v>
      </c>
      <c r="L6" s="48">
        <f t="shared" si="0"/>
        <v>72.5</v>
      </c>
      <c r="S6" s="52" t="b">
        <f t="shared" si="2"/>
        <v>0</v>
      </c>
      <c r="T6" s="52" t="b">
        <f t="shared" si="2"/>
        <v>0</v>
      </c>
      <c r="U6" s="52" t="b">
        <f t="shared" si="2"/>
        <v>0</v>
      </c>
      <c r="W6" s="52" t="b">
        <f t="shared" si="3"/>
        <v>0</v>
      </c>
      <c r="X6" s="52" t="b">
        <f t="shared" si="3"/>
        <v>0</v>
      </c>
      <c r="Y6" s="52" t="b">
        <f t="shared" si="3"/>
        <v>0</v>
      </c>
    </row>
    <row r="7" spans="1:25">
      <c r="A7" s="57">
        <v>83</v>
      </c>
      <c r="B7" s="57">
        <v>100</v>
      </c>
      <c r="C7" s="57">
        <v>97</v>
      </c>
      <c r="D7" s="57">
        <v>68</v>
      </c>
      <c r="E7" s="57">
        <v>77</v>
      </c>
      <c r="F7" s="57">
        <v>66</v>
      </c>
      <c r="G7" s="57">
        <v>89</v>
      </c>
      <c r="H7" s="57">
        <v>100</v>
      </c>
      <c r="I7" s="57">
        <v>73</v>
      </c>
      <c r="J7" s="57">
        <v>95</v>
      </c>
      <c r="K7" s="48">
        <f t="shared" si="1"/>
        <v>848</v>
      </c>
      <c r="L7" s="48">
        <f t="shared" si="0"/>
        <v>84.8</v>
      </c>
      <c r="S7" s="104" t="s">
        <v>24</v>
      </c>
      <c r="T7" s="104"/>
      <c r="U7" s="104"/>
    </row>
    <row r="8" spans="1:25">
      <c r="A8" s="57">
        <v>96</v>
      </c>
      <c r="B8" s="57">
        <v>78</v>
      </c>
      <c r="C8" s="57">
        <v>63</v>
      </c>
      <c r="D8" s="57">
        <v>63</v>
      </c>
      <c r="E8" s="57">
        <v>64</v>
      </c>
      <c r="F8" s="57">
        <v>61</v>
      </c>
      <c r="G8" s="57">
        <v>61</v>
      </c>
      <c r="H8" s="57">
        <v>65</v>
      </c>
      <c r="I8" s="57">
        <v>83</v>
      </c>
      <c r="J8" s="57">
        <v>61</v>
      </c>
      <c r="K8" s="48">
        <f t="shared" si="1"/>
        <v>695</v>
      </c>
      <c r="L8" s="48">
        <f t="shared" si="0"/>
        <v>69.5</v>
      </c>
      <c r="S8" s="52" t="b">
        <f t="shared" ref="S8:U10" si="4">AND(P$22&lt;&gt;"",P$22=P$23,P$23=P$24)</f>
        <v>0</v>
      </c>
      <c r="T8" s="52" t="b">
        <f t="shared" si="4"/>
        <v>0</v>
      </c>
      <c r="U8" s="52" t="b">
        <f t="shared" si="4"/>
        <v>0</v>
      </c>
    </row>
    <row r="9" spans="1:25">
      <c r="A9" s="57">
        <v>97</v>
      </c>
      <c r="B9" s="57">
        <v>64</v>
      </c>
      <c r="C9" s="57">
        <v>89</v>
      </c>
      <c r="D9" s="57">
        <v>82</v>
      </c>
      <c r="E9" s="57">
        <v>99</v>
      </c>
      <c r="F9" s="57">
        <v>98</v>
      </c>
      <c r="G9" s="57">
        <v>97</v>
      </c>
      <c r="H9" s="57">
        <v>92</v>
      </c>
      <c r="I9" s="57">
        <v>80</v>
      </c>
      <c r="J9" s="57">
        <v>83</v>
      </c>
      <c r="K9" s="48">
        <f t="shared" si="1"/>
        <v>881</v>
      </c>
      <c r="L9" s="48">
        <f t="shared" si="0"/>
        <v>88.1</v>
      </c>
      <c r="S9" s="52" t="b">
        <f t="shared" si="4"/>
        <v>0</v>
      </c>
      <c r="T9" s="52" t="b">
        <f t="shared" si="4"/>
        <v>0</v>
      </c>
      <c r="U9" s="52" t="b">
        <f t="shared" si="4"/>
        <v>0</v>
      </c>
    </row>
    <row r="10" spans="1:25">
      <c r="A10" s="57">
        <v>98</v>
      </c>
      <c r="B10" s="57">
        <v>63</v>
      </c>
      <c r="C10" s="57">
        <v>93</v>
      </c>
      <c r="D10" s="57">
        <v>96</v>
      </c>
      <c r="E10" s="57">
        <v>83</v>
      </c>
      <c r="F10" s="57">
        <v>84</v>
      </c>
      <c r="G10" s="57">
        <v>87</v>
      </c>
      <c r="H10" s="57">
        <v>86</v>
      </c>
      <c r="I10" s="57">
        <v>78</v>
      </c>
      <c r="J10" s="57">
        <v>78</v>
      </c>
      <c r="K10" s="48">
        <f t="shared" si="1"/>
        <v>846</v>
      </c>
      <c r="L10" s="48">
        <f t="shared" si="0"/>
        <v>84.6</v>
      </c>
      <c r="S10" s="52" t="b">
        <f t="shared" si="4"/>
        <v>0</v>
      </c>
      <c r="T10" s="52" t="b">
        <f t="shared" si="4"/>
        <v>0</v>
      </c>
      <c r="U10" s="52" t="b">
        <f t="shared" si="4"/>
        <v>0</v>
      </c>
    </row>
    <row r="11" spans="1:25">
      <c r="A11" s="57">
        <v>88</v>
      </c>
      <c r="B11" s="57">
        <v>90</v>
      </c>
      <c r="C11" s="57">
        <v>83</v>
      </c>
      <c r="D11" s="57">
        <v>79</v>
      </c>
      <c r="E11" s="57">
        <v>99</v>
      </c>
      <c r="F11" s="57">
        <v>90</v>
      </c>
      <c r="G11" s="57">
        <v>67</v>
      </c>
      <c r="H11" s="57">
        <v>84</v>
      </c>
      <c r="I11" s="57">
        <v>88</v>
      </c>
      <c r="J11" s="57">
        <v>84</v>
      </c>
      <c r="K11" s="48">
        <f t="shared" si="1"/>
        <v>852</v>
      </c>
      <c r="L11" s="48">
        <f t="shared" si="0"/>
        <v>85.2</v>
      </c>
      <c r="S11" s="104" t="s">
        <v>25</v>
      </c>
      <c r="T11" s="104"/>
      <c r="U11" s="104"/>
    </row>
    <row r="12" spans="1:25">
      <c r="A12" s="57">
        <v>81</v>
      </c>
      <c r="B12" s="57">
        <v>67</v>
      </c>
      <c r="C12" s="57">
        <v>80</v>
      </c>
      <c r="D12" s="57">
        <v>63</v>
      </c>
      <c r="E12" s="57">
        <v>64</v>
      </c>
      <c r="F12" s="57">
        <v>86</v>
      </c>
      <c r="G12" s="57">
        <v>61</v>
      </c>
      <c r="H12" s="57">
        <v>89</v>
      </c>
      <c r="I12" s="57">
        <v>87</v>
      </c>
      <c r="J12" s="57">
        <v>79</v>
      </c>
      <c r="K12" s="48">
        <f t="shared" si="1"/>
        <v>757</v>
      </c>
      <c r="L12" s="48">
        <f t="shared" si="0"/>
        <v>75.7</v>
      </c>
      <c r="S12" s="52" t="b">
        <f>IF(P22="", FALSE, AND($P$22=$Q$23,$Q$23=$R$24) )</f>
        <v>0</v>
      </c>
      <c r="T12" s="52" t="b">
        <f>AND($P$23&lt;&gt;"", $P$22=$Q$23,$Q$23=$R$24)</f>
        <v>0</v>
      </c>
      <c r="U12" s="52" t="b">
        <f>AND($P$23&lt;&gt;"", $P$22=$Q$23,$Q$23=$R$24)</f>
        <v>0</v>
      </c>
    </row>
    <row r="13" spans="1:25">
      <c r="A13" s="57">
        <v>92</v>
      </c>
      <c r="B13" s="57">
        <v>87</v>
      </c>
      <c r="C13" s="57">
        <v>74</v>
      </c>
      <c r="D13" s="57">
        <v>88</v>
      </c>
      <c r="E13" s="57">
        <v>81</v>
      </c>
      <c r="F13" s="57">
        <v>86</v>
      </c>
      <c r="G13" s="57">
        <v>78</v>
      </c>
      <c r="H13" s="57">
        <v>69</v>
      </c>
      <c r="I13" s="57">
        <v>61</v>
      </c>
      <c r="J13" s="57">
        <v>70</v>
      </c>
      <c r="K13" s="48">
        <f t="shared" si="1"/>
        <v>786</v>
      </c>
      <c r="L13" s="48">
        <f t="shared" si="0"/>
        <v>78.599999999999994</v>
      </c>
      <c r="S13" s="52"/>
      <c r="T13" s="52" t="b">
        <f>OR(AND($P$22=$Q$23,$Q$23=$R$24),AND($P$24=$Q$23,$Q$23=$R$22))</f>
        <v>0</v>
      </c>
      <c r="U13" s="52"/>
    </row>
    <row r="14" spans="1:25">
      <c r="A14" s="57">
        <v>90</v>
      </c>
      <c r="B14" s="57">
        <v>62</v>
      </c>
      <c r="C14" s="57">
        <v>67</v>
      </c>
      <c r="D14" s="57">
        <v>65</v>
      </c>
      <c r="E14" s="57">
        <v>98</v>
      </c>
      <c r="F14" s="57">
        <v>70</v>
      </c>
      <c r="G14" s="57">
        <v>100</v>
      </c>
      <c r="H14" s="57">
        <v>79</v>
      </c>
      <c r="I14" s="57">
        <v>88</v>
      </c>
      <c r="J14" s="57">
        <v>96</v>
      </c>
      <c r="K14" s="48">
        <f t="shared" si="1"/>
        <v>815</v>
      </c>
      <c r="L14" s="48">
        <f t="shared" si="0"/>
        <v>81.5</v>
      </c>
      <c r="S14" s="52" t="b">
        <f>AND($P$24=$Q$23,$Q$23=$R$22)</f>
        <v>0</v>
      </c>
      <c r="T14" s="52"/>
      <c r="U14" s="52" t="b">
        <f>AND($P$22=$Q$23,$Q$23=$R$24)</f>
        <v>0</v>
      </c>
    </row>
    <row r="15" spans="1:25">
      <c r="A15" s="57">
        <v>82</v>
      </c>
      <c r="B15" s="57">
        <v>73</v>
      </c>
      <c r="C15" s="57">
        <v>72</v>
      </c>
      <c r="D15" s="57">
        <v>96</v>
      </c>
      <c r="E15" s="57">
        <v>91</v>
      </c>
      <c r="F15" s="57">
        <v>93</v>
      </c>
      <c r="G15" s="57">
        <v>82</v>
      </c>
      <c r="H15" s="57">
        <v>98</v>
      </c>
      <c r="I15" s="57">
        <v>76</v>
      </c>
      <c r="J15" s="57">
        <v>79</v>
      </c>
      <c r="K15" s="48">
        <f t="shared" si="1"/>
        <v>842</v>
      </c>
      <c r="L15" s="48">
        <f t="shared" si="0"/>
        <v>84.2</v>
      </c>
    </row>
    <row r="16" spans="1:25">
      <c r="A16" s="57">
        <v>70</v>
      </c>
      <c r="B16" s="57">
        <v>61</v>
      </c>
      <c r="C16" s="57">
        <v>98</v>
      </c>
      <c r="D16" s="57">
        <v>86</v>
      </c>
      <c r="E16" s="57">
        <v>69</v>
      </c>
      <c r="F16" s="57">
        <v>64</v>
      </c>
      <c r="G16" s="57">
        <v>71</v>
      </c>
      <c r="H16" s="57">
        <v>89</v>
      </c>
      <c r="I16" s="57">
        <v>79</v>
      </c>
      <c r="J16" s="57">
        <v>81</v>
      </c>
      <c r="K16" s="48">
        <f t="shared" si="1"/>
        <v>768</v>
      </c>
      <c r="L16" s="48">
        <f t="shared" si="0"/>
        <v>76.8</v>
      </c>
    </row>
    <row r="17" spans="1:18">
      <c r="A17" s="57">
        <v>86</v>
      </c>
      <c r="B17" s="57">
        <v>89</v>
      </c>
      <c r="C17" s="57">
        <v>86</v>
      </c>
      <c r="D17" s="57">
        <v>67</v>
      </c>
      <c r="E17" s="57">
        <v>90</v>
      </c>
      <c r="F17" s="57">
        <v>71</v>
      </c>
      <c r="G17" s="57">
        <v>75</v>
      </c>
      <c r="H17" s="57">
        <v>79</v>
      </c>
      <c r="I17" s="57">
        <v>90</v>
      </c>
      <c r="J17" s="57">
        <v>87</v>
      </c>
      <c r="K17" s="48">
        <f t="shared" si="1"/>
        <v>820</v>
      </c>
      <c r="L17" s="48">
        <f t="shared" si="0"/>
        <v>82</v>
      </c>
    </row>
    <row r="18" spans="1:18">
      <c r="A18" s="57">
        <v>95</v>
      </c>
      <c r="B18" s="57">
        <v>87</v>
      </c>
      <c r="C18" s="57">
        <v>96</v>
      </c>
      <c r="D18" s="57">
        <v>89</v>
      </c>
      <c r="E18" s="57">
        <v>70</v>
      </c>
      <c r="F18" s="57">
        <v>94</v>
      </c>
      <c r="G18" s="57">
        <v>65</v>
      </c>
      <c r="H18" s="57">
        <v>84</v>
      </c>
      <c r="I18" s="57">
        <v>77</v>
      </c>
      <c r="J18" s="57">
        <v>70</v>
      </c>
      <c r="K18" s="48">
        <f t="shared" si="1"/>
        <v>827</v>
      </c>
      <c r="L18" s="48">
        <f t="shared" si="0"/>
        <v>82.7</v>
      </c>
    </row>
    <row r="19" spans="1:18">
      <c r="A19" s="57">
        <v>100</v>
      </c>
      <c r="B19" s="57">
        <v>89</v>
      </c>
      <c r="C19" s="57">
        <v>76</v>
      </c>
      <c r="D19" s="57">
        <v>83</v>
      </c>
      <c r="E19" s="57">
        <v>79</v>
      </c>
      <c r="F19" s="57">
        <v>91</v>
      </c>
      <c r="G19" s="57">
        <v>85</v>
      </c>
      <c r="H19" s="57">
        <v>86</v>
      </c>
      <c r="I19" s="57">
        <v>94</v>
      </c>
      <c r="J19" s="57">
        <v>69</v>
      </c>
      <c r="K19" s="48">
        <f t="shared" si="1"/>
        <v>852</v>
      </c>
      <c r="L19" s="48">
        <f t="shared" si="0"/>
        <v>85.2</v>
      </c>
    </row>
    <row r="22" spans="1:18" s="58" customFormat="1" ht="48" customHeight="1">
      <c r="P22" s="59" t="s">
        <v>6</v>
      </c>
      <c r="Q22" s="59" t="s">
        <v>6</v>
      </c>
      <c r="R22" s="59" t="s">
        <v>6</v>
      </c>
    </row>
    <row r="23" spans="1:18" s="58" customFormat="1" ht="48" customHeight="1">
      <c r="P23" s="59" t="s">
        <v>6</v>
      </c>
      <c r="Q23" s="59" t="s">
        <v>10</v>
      </c>
      <c r="R23" s="59" t="s">
        <v>6</v>
      </c>
    </row>
    <row r="24" spans="1:18" s="58" customFormat="1" ht="48" customHeight="1">
      <c r="P24" s="59"/>
      <c r="Q24" s="59" t="s">
        <v>6</v>
      </c>
      <c r="R24" s="59"/>
    </row>
  </sheetData>
  <mergeCells count="3">
    <mergeCell ref="S3:U3"/>
    <mergeCell ref="S7:U7"/>
    <mergeCell ref="S11:U11"/>
  </mergeCells>
  <conditionalFormatting sqref="P22:R24">
    <cfRule type="expression" dxfId="0" priority="1">
      <formula>AND(W4=TRUE)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6FF68-DD41-694C-B824-BB4786E7D898}">
  <sheetPr codeName="Sheet3"/>
  <dimension ref="B1:Z52"/>
  <sheetViews>
    <sheetView zoomScale="25" zoomScaleNormal="32" workbookViewId="0">
      <selection activeCell="I4" sqref="I4"/>
    </sheetView>
  </sheetViews>
  <sheetFormatPr baseColWidth="10" defaultRowHeight="29"/>
  <cols>
    <col min="1" max="3" width="10.83203125" style="47"/>
    <col min="4" max="4" width="6.5" style="47" bestFit="1" customWidth="1"/>
    <col min="5" max="5" width="30" style="47" bestFit="1" customWidth="1"/>
    <col min="6" max="17" width="27.83203125" style="47" bestFit="1" customWidth="1"/>
    <col min="18" max="19" width="10.83203125" style="47"/>
    <col min="20" max="20" width="8.33203125" style="47" bestFit="1" customWidth="1"/>
    <col min="21" max="23" width="10.83203125" style="47"/>
    <col min="24" max="24" width="14.1640625" style="47" bestFit="1" customWidth="1"/>
    <col min="25" max="25" width="3.6640625" style="47" bestFit="1" customWidth="1"/>
    <col min="26" max="26" width="9.33203125" style="47" bestFit="1" customWidth="1"/>
    <col min="27" max="16384" width="10.83203125" style="47"/>
  </cols>
  <sheetData>
    <row r="1" spans="2:26">
      <c r="K1" s="78"/>
    </row>
    <row r="2" spans="2:26" ht="55" customHeight="1">
      <c r="B2" s="47">
        <v>123</v>
      </c>
      <c r="D2" s="72"/>
      <c r="E2" s="105" t="s">
        <v>9</v>
      </c>
      <c r="F2" s="105"/>
      <c r="G2" s="105"/>
      <c r="H2" s="105"/>
      <c r="I2" s="105"/>
      <c r="J2" s="105"/>
      <c r="K2" s="105"/>
      <c r="L2" s="105"/>
      <c r="M2" s="105"/>
      <c r="N2" s="105"/>
      <c r="O2" s="105"/>
      <c r="T2" s="73">
        <f ca="1">RANDBETWEEN(1,100)</f>
        <v>54</v>
      </c>
      <c r="X2" s="47" t="s">
        <v>21</v>
      </c>
      <c r="Y2" s="47" t="s">
        <v>20</v>
      </c>
      <c r="Z2" s="47">
        <f ca="1">SUM(T2:T18)</f>
        <v>847</v>
      </c>
    </row>
    <row r="3" spans="2:26" ht="55" customHeight="1">
      <c r="D3" s="75"/>
      <c r="E3" s="76">
        <v>1</v>
      </c>
      <c r="F3" s="76">
        <v>2</v>
      </c>
      <c r="G3" s="76">
        <v>3</v>
      </c>
      <c r="H3" s="76">
        <v>4</v>
      </c>
      <c r="I3" s="76">
        <v>5</v>
      </c>
      <c r="J3" s="76">
        <v>6</v>
      </c>
      <c r="K3" s="76">
        <v>7</v>
      </c>
      <c r="L3" s="76">
        <v>8</v>
      </c>
      <c r="M3" s="76">
        <v>9</v>
      </c>
      <c r="N3" s="76">
        <v>10</v>
      </c>
      <c r="O3" s="76">
        <v>11</v>
      </c>
      <c r="P3" s="76">
        <v>12</v>
      </c>
      <c r="Q3" s="76">
        <v>13</v>
      </c>
      <c r="T3" s="73">
        <f t="shared" ref="T3:T18" ca="1" si="0">RANDBETWEEN(1,100)</f>
        <v>88</v>
      </c>
      <c r="X3" s="47" t="s">
        <v>27</v>
      </c>
      <c r="Y3" s="47" t="s">
        <v>20</v>
      </c>
      <c r="Z3" s="47">
        <f ca="1">AVERAGE(T2:T18)</f>
        <v>49.823529411764703</v>
      </c>
    </row>
    <row r="4" spans="2:26" ht="55" customHeight="1">
      <c r="D4" s="77">
        <v>1</v>
      </c>
      <c r="E4" s="79">
        <f>$D4/E$3</f>
        <v>1</v>
      </c>
      <c r="F4" s="79">
        <f t="shared" ref="F4:Q17" si="1">$D4/F$3</f>
        <v>0.5</v>
      </c>
      <c r="G4" s="79">
        <f t="shared" si="1"/>
        <v>0.33333333333333331</v>
      </c>
      <c r="H4" s="79">
        <f t="shared" si="1"/>
        <v>0.25</v>
      </c>
      <c r="I4" s="79">
        <f t="shared" si="1"/>
        <v>0.2</v>
      </c>
      <c r="J4" s="79">
        <f t="shared" si="1"/>
        <v>0.16666666666666666</v>
      </c>
      <c r="K4" s="79">
        <f t="shared" si="1"/>
        <v>0.14285714285714285</v>
      </c>
      <c r="L4" s="79">
        <f t="shared" si="1"/>
        <v>0.125</v>
      </c>
      <c r="M4" s="79">
        <f t="shared" si="1"/>
        <v>0.1111111111111111</v>
      </c>
      <c r="N4" s="79">
        <f t="shared" si="1"/>
        <v>0.1</v>
      </c>
      <c r="O4" s="79">
        <f t="shared" si="1"/>
        <v>9.0909090909090912E-2</v>
      </c>
      <c r="P4" s="79">
        <f t="shared" si="1"/>
        <v>8.3333333333333329E-2</v>
      </c>
      <c r="Q4" s="79">
        <f t="shared" si="1"/>
        <v>7.6923076923076927E-2</v>
      </c>
      <c r="T4" s="73">
        <f t="shared" ca="1" si="0"/>
        <v>32</v>
      </c>
    </row>
    <row r="5" spans="2:26" ht="55" customHeight="1">
      <c r="D5" s="77">
        <v>2</v>
      </c>
      <c r="E5" s="79">
        <f t="shared" ref="E5:E17" si="2">$D5/E$3</f>
        <v>2</v>
      </c>
      <c r="F5" s="79">
        <f t="shared" si="1"/>
        <v>1</v>
      </c>
      <c r="G5" s="79">
        <f t="shared" si="1"/>
        <v>0.66666666666666663</v>
      </c>
      <c r="H5" s="79">
        <f t="shared" si="1"/>
        <v>0.5</v>
      </c>
      <c r="I5" s="79">
        <f t="shared" si="1"/>
        <v>0.4</v>
      </c>
      <c r="J5" s="79">
        <f t="shared" si="1"/>
        <v>0.33333333333333331</v>
      </c>
      <c r="K5" s="79">
        <f t="shared" si="1"/>
        <v>0.2857142857142857</v>
      </c>
      <c r="L5" s="79">
        <f t="shared" si="1"/>
        <v>0.25</v>
      </c>
      <c r="M5" s="79">
        <f t="shared" si="1"/>
        <v>0.22222222222222221</v>
      </c>
      <c r="N5" s="79">
        <f t="shared" si="1"/>
        <v>0.2</v>
      </c>
      <c r="O5" s="79">
        <f t="shared" si="1"/>
        <v>0.18181818181818182</v>
      </c>
      <c r="P5" s="79">
        <f t="shared" si="1"/>
        <v>0.16666666666666666</v>
      </c>
      <c r="Q5" s="79">
        <f t="shared" si="1"/>
        <v>0.15384615384615385</v>
      </c>
      <c r="T5" s="73">
        <f t="shared" ca="1" si="0"/>
        <v>71</v>
      </c>
    </row>
    <row r="6" spans="2:26" ht="55" customHeight="1">
      <c r="D6" s="77">
        <v>3</v>
      </c>
      <c r="E6" s="79">
        <f t="shared" si="2"/>
        <v>3</v>
      </c>
      <c r="F6" s="79">
        <f t="shared" si="1"/>
        <v>1.5</v>
      </c>
      <c r="G6" s="79">
        <f t="shared" si="1"/>
        <v>1</v>
      </c>
      <c r="H6" s="79">
        <f>$D6/H$3</f>
        <v>0.75</v>
      </c>
      <c r="I6" s="79">
        <f t="shared" si="1"/>
        <v>0.6</v>
      </c>
      <c r="J6" s="79">
        <f t="shared" si="1"/>
        <v>0.5</v>
      </c>
      <c r="K6" s="79">
        <f t="shared" si="1"/>
        <v>0.42857142857142855</v>
      </c>
      <c r="L6" s="79">
        <f t="shared" si="1"/>
        <v>0.375</v>
      </c>
      <c r="M6" s="79">
        <f t="shared" si="1"/>
        <v>0.33333333333333331</v>
      </c>
      <c r="N6" s="79">
        <f t="shared" si="1"/>
        <v>0.3</v>
      </c>
      <c r="O6" s="79">
        <f t="shared" si="1"/>
        <v>0.27272727272727271</v>
      </c>
      <c r="P6" s="79">
        <f t="shared" si="1"/>
        <v>0.25</v>
      </c>
      <c r="Q6" s="79">
        <f t="shared" si="1"/>
        <v>0.23076923076923078</v>
      </c>
      <c r="T6" s="73">
        <f t="shared" ca="1" si="0"/>
        <v>43</v>
      </c>
    </row>
    <row r="7" spans="2:26" ht="55" customHeight="1">
      <c r="D7" s="77">
        <v>4</v>
      </c>
      <c r="E7" s="79">
        <f t="shared" si="2"/>
        <v>4</v>
      </c>
      <c r="F7" s="79">
        <f t="shared" si="1"/>
        <v>2</v>
      </c>
      <c r="G7" s="79">
        <f t="shared" si="1"/>
        <v>1.3333333333333333</v>
      </c>
      <c r="H7" s="79">
        <f t="shared" si="1"/>
        <v>1</v>
      </c>
      <c r="I7" s="79">
        <f t="shared" si="1"/>
        <v>0.8</v>
      </c>
      <c r="J7" s="79">
        <f t="shared" si="1"/>
        <v>0.66666666666666663</v>
      </c>
      <c r="K7" s="79">
        <f t="shared" si="1"/>
        <v>0.5714285714285714</v>
      </c>
      <c r="L7" s="79">
        <f t="shared" si="1"/>
        <v>0.5</v>
      </c>
      <c r="M7" s="79">
        <f t="shared" si="1"/>
        <v>0.44444444444444442</v>
      </c>
      <c r="N7" s="79">
        <f t="shared" si="1"/>
        <v>0.4</v>
      </c>
      <c r="O7" s="79">
        <f t="shared" si="1"/>
        <v>0.36363636363636365</v>
      </c>
      <c r="P7" s="79">
        <f t="shared" si="1"/>
        <v>0.33333333333333331</v>
      </c>
      <c r="Q7" s="79">
        <f t="shared" si="1"/>
        <v>0.30769230769230771</v>
      </c>
      <c r="T7" s="73">
        <f t="shared" ca="1" si="0"/>
        <v>81</v>
      </c>
    </row>
    <row r="8" spans="2:26" ht="55" customHeight="1">
      <c r="D8" s="77">
        <v>5</v>
      </c>
      <c r="E8" s="79">
        <f t="shared" si="2"/>
        <v>5</v>
      </c>
      <c r="F8" s="79">
        <f t="shared" si="1"/>
        <v>2.5</v>
      </c>
      <c r="G8" s="79">
        <f t="shared" si="1"/>
        <v>1.6666666666666667</v>
      </c>
      <c r="H8" s="79">
        <f t="shared" si="1"/>
        <v>1.25</v>
      </c>
      <c r="I8" s="79">
        <f t="shared" si="1"/>
        <v>1</v>
      </c>
      <c r="J8" s="79">
        <f t="shared" si="1"/>
        <v>0.83333333333333337</v>
      </c>
      <c r="K8" s="79">
        <f>$D8/K$3</f>
        <v>0.7142857142857143</v>
      </c>
      <c r="L8" s="79">
        <f t="shared" si="1"/>
        <v>0.625</v>
      </c>
      <c r="M8" s="79">
        <f t="shared" si="1"/>
        <v>0.55555555555555558</v>
      </c>
      <c r="N8" s="79">
        <f t="shared" si="1"/>
        <v>0.5</v>
      </c>
      <c r="O8" s="79">
        <f t="shared" si="1"/>
        <v>0.45454545454545453</v>
      </c>
      <c r="P8" s="79">
        <f t="shared" si="1"/>
        <v>0.41666666666666669</v>
      </c>
      <c r="Q8" s="79">
        <f t="shared" si="1"/>
        <v>0.38461538461538464</v>
      </c>
      <c r="T8" s="73">
        <f t="shared" ca="1" si="0"/>
        <v>64</v>
      </c>
    </row>
    <row r="9" spans="2:26" ht="55" customHeight="1">
      <c r="D9" s="77">
        <v>6</v>
      </c>
      <c r="E9" s="79">
        <f t="shared" si="2"/>
        <v>6</v>
      </c>
      <c r="F9" s="79">
        <f t="shared" si="1"/>
        <v>3</v>
      </c>
      <c r="G9" s="79">
        <f t="shared" si="1"/>
        <v>2</v>
      </c>
      <c r="H9" s="79">
        <f t="shared" si="1"/>
        <v>1.5</v>
      </c>
      <c r="I9" s="79">
        <f t="shared" si="1"/>
        <v>1.2</v>
      </c>
      <c r="J9" s="79">
        <f t="shared" si="1"/>
        <v>1</v>
      </c>
      <c r="K9" s="79">
        <f t="shared" si="1"/>
        <v>0.8571428571428571</v>
      </c>
      <c r="L9" s="79">
        <f t="shared" si="1"/>
        <v>0.75</v>
      </c>
      <c r="M9" s="79">
        <f t="shared" si="1"/>
        <v>0.66666666666666663</v>
      </c>
      <c r="N9" s="79">
        <f t="shared" si="1"/>
        <v>0.6</v>
      </c>
      <c r="O9" s="79">
        <f t="shared" si="1"/>
        <v>0.54545454545454541</v>
      </c>
      <c r="P9" s="79">
        <f t="shared" si="1"/>
        <v>0.5</v>
      </c>
      <c r="Q9" s="79">
        <f t="shared" si="1"/>
        <v>0.46153846153846156</v>
      </c>
      <c r="T9" s="73">
        <f t="shared" ca="1" si="0"/>
        <v>85</v>
      </c>
    </row>
    <row r="10" spans="2:26" ht="55" customHeight="1">
      <c r="D10" s="77">
        <v>7</v>
      </c>
      <c r="E10" s="79">
        <f t="shared" si="2"/>
        <v>7</v>
      </c>
      <c r="F10" s="79">
        <f t="shared" si="1"/>
        <v>3.5</v>
      </c>
      <c r="G10" s="79">
        <f t="shared" si="1"/>
        <v>2.3333333333333335</v>
      </c>
      <c r="H10" s="79">
        <f t="shared" si="1"/>
        <v>1.75</v>
      </c>
      <c r="I10" s="79">
        <f t="shared" si="1"/>
        <v>1.4</v>
      </c>
      <c r="J10" s="79">
        <f t="shared" si="1"/>
        <v>1.1666666666666667</v>
      </c>
      <c r="K10" s="79">
        <f t="shared" si="1"/>
        <v>1</v>
      </c>
      <c r="L10" s="79">
        <f t="shared" si="1"/>
        <v>0.875</v>
      </c>
      <c r="M10" s="79">
        <f t="shared" si="1"/>
        <v>0.77777777777777779</v>
      </c>
      <c r="N10" s="79">
        <f t="shared" si="1"/>
        <v>0.7</v>
      </c>
      <c r="O10" s="79">
        <f t="shared" si="1"/>
        <v>0.63636363636363635</v>
      </c>
      <c r="P10" s="79">
        <f t="shared" si="1"/>
        <v>0.58333333333333337</v>
      </c>
      <c r="Q10" s="79">
        <f t="shared" si="1"/>
        <v>0.53846153846153844</v>
      </c>
      <c r="T10" s="73">
        <f t="shared" ca="1" si="0"/>
        <v>4</v>
      </c>
    </row>
    <row r="11" spans="2:26" ht="55" customHeight="1">
      <c r="D11" s="77">
        <v>8</v>
      </c>
      <c r="E11" s="79">
        <f t="shared" si="2"/>
        <v>8</v>
      </c>
      <c r="F11" s="79">
        <f t="shared" si="1"/>
        <v>4</v>
      </c>
      <c r="G11" s="79">
        <f t="shared" si="1"/>
        <v>2.6666666666666665</v>
      </c>
      <c r="H11" s="79">
        <f t="shared" si="1"/>
        <v>2</v>
      </c>
      <c r="I11" s="79">
        <f t="shared" si="1"/>
        <v>1.6</v>
      </c>
      <c r="J11" s="79">
        <f t="shared" si="1"/>
        <v>1.3333333333333333</v>
      </c>
      <c r="K11" s="79">
        <f>$D11/K$3</f>
        <v>1.1428571428571428</v>
      </c>
      <c r="L11" s="79">
        <f t="shared" si="1"/>
        <v>1</v>
      </c>
      <c r="M11" s="79">
        <f t="shared" si="1"/>
        <v>0.88888888888888884</v>
      </c>
      <c r="N11" s="79">
        <f t="shared" si="1"/>
        <v>0.8</v>
      </c>
      <c r="O11" s="79">
        <f t="shared" si="1"/>
        <v>0.72727272727272729</v>
      </c>
      <c r="P11" s="79">
        <f t="shared" si="1"/>
        <v>0.66666666666666663</v>
      </c>
      <c r="Q11" s="79">
        <f t="shared" si="1"/>
        <v>0.61538461538461542</v>
      </c>
      <c r="T11" s="73">
        <f t="shared" ca="1" si="0"/>
        <v>48</v>
      </c>
    </row>
    <row r="12" spans="2:26" ht="55" customHeight="1">
      <c r="D12" s="77">
        <v>9</v>
      </c>
      <c r="E12" s="79">
        <f t="shared" si="2"/>
        <v>9</v>
      </c>
      <c r="F12" s="79">
        <f t="shared" si="1"/>
        <v>4.5</v>
      </c>
      <c r="G12" s="79">
        <f t="shared" si="1"/>
        <v>3</v>
      </c>
      <c r="H12" s="79">
        <f t="shared" si="1"/>
        <v>2.25</v>
      </c>
      <c r="I12" s="79">
        <f t="shared" si="1"/>
        <v>1.8</v>
      </c>
      <c r="J12" s="79">
        <f t="shared" si="1"/>
        <v>1.5</v>
      </c>
      <c r="K12" s="79">
        <f t="shared" si="1"/>
        <v>1.2857142857142858</v>
      </c>
      <c r="L12" s="79">
        <f t="shared" si="1"/>
        <v>1.125</v>
      </c>
      <c r="M12" s="79">
        <f t="shared" si="1"/>
        <v>1</v>
      </c>
      <c r="N12" s="79">
        <f t="shared" si="1"/>
        <v>0.9</v>
      </c>
      <c r="O12" s="79">
        <f t="shared" si="1"/>
        <v>0.81818181818181823</v>
      </c>
      <c r="P12" s="79">
        <f t="shared" si="1"/>
        <v>0.75</v>
      </c>
      <c r="Q12" s="79">
        <f t="shared" si="1"/>
        <v>0.69230769230769229</v>
      </c>
      <c r="T12" s="73">
        <f t="shared" ca="1" si="0"/>
        <v>4</v>
      </c>
    </row>
    <row r="13" spans="2:26" ht="55" customHeight="1">
      <c r="D13" s="77">
        <v>10</v>
      </c>
      <c r="E13" s="79">
        <f t="shared" si="2"/>
        <v>10</v>
      </c>
      <c r="F13" s="79">
        <f t="shared" si="1"/>
        <v>5</v>
      </c>
      <c r="G13" s="79">
        <f t="shared" si="1"/>
        <v>3.3333333333333335</v>
      </c>
      <c r="H13" s="79">
        <f t="shared" si="1"/>
        <v>2.5</v>
      </c>
      <c r="I13" s="79">
        <f>$D13/I$3</f>
        <v>2</v>
      </c>
      <c r="J13" s="79">
        <f t="shared" si="1"/>
        <v>1.6666666666666667</v>
      </c>
      <c r="K13" s="79">
        <f t="shared" si="1"/>
        <v>1.4285714285714286</v>
      </c>
      <c r="L13" s="79">
        <f t="shared" si="1"/>
        <v>1.25</v>
      </c>
      <c r="M13" s="79">
        <f t="shared" si="1"/>
        <v>1.1111111111111112</v>
      </c>
      <c r="N13" s="79">
        <f t="shared" si="1"/>
        <v>1</v>
      </c>
      <c r="O13" s="79">
        <f t="shared" si="1"/>
        <v>0.90909090909090906</v>
      </c>
      <c r="P13" s="79">
        <f t="shared" si="1"/>
        <v>0.83333333333333337</v>
      </c>
      <c r="Q13" s="79">
        <f t="shared" si="1"/>
        <v>0.76923076923076927</v>
      </c>
      <c r="T13" s="73">
        <f t="shared" ca="1" si="0"/>
        <v>91</v>
      </c>
    </row>
    <row r="14" spans="2:26" ht="55" customHeight="1">
      <c r="D14" s="77">
        <v>11</v>
      </c>
      <c r="E14" s="79">
        <f t="shared" si="2"/>
        <v>11</v>
      </c>
      <c r="F14" s="79">
        <f t="shared" si="1"/>
        <v>5.5</v>
      </c>
      <c r="G14" s="79">
        <f t="shared" si="1"/>
        <v>3.6666666666666665</v>
      </c>
      <c r="H14" s="79">
        <f t="shared" si="1"/>
        <v>2.75</v>
      </c>
      <c r="I14" s="79">
        <f t="shared" si="1"/>
        <v>2.2000000000000002</v>
      </c>
      <c r="J14" s="79">
        <f t="shared" si="1"/>
        <v>1.8333333333333333</v>
      </c>
      <c r="K14" s="79">
        <f t="shared" si="1"/>
        <v>1.5714285714285714</v>
      </c>
      <c r="L14" s="79">
        <f t="shared" si="1"/>
        <v>1.375</v>
      </c>
      <c r="M14" s="79">
        <f t="shared" si="1"/>
        <v>1.2222222222222223</v>
      </c>
      <c r="N14" s="79">
        <f t="shared" si="1"/>
        <v>1.1000000000000001</v>
      </c>
      <c r="O14" s="79">
        <f t="shared" si="1"/>
        <v>1</v>
      </c>
      <c r="P14" s="79">
        <f t="shared" si="1"/>
        <v>0.91666666666666663</v>
      </c>
      <c r="Q14" s="79">
        <f t="shared" si="1"/>
        <v>0.84615384615384615</v>
      </c>
      <c r="T14" s="73">
        <f t="shared" ca="1" si="0"/>
        <v>66</v>
      </c>
    </row>
    <row r="15" spans="2:26" ht="50" customHeight="1">
      <c r="D15" s="77">
        <v>12</v>
      </c>
      <c r="E15" s="79">
        <f t="shared" si="2"/>
        <v>12</v>
      </c>
      <c r="F15" s="79">
        <f t="shared" si="1"/>
        <v>6</v>
      </c>
      <c r="G15" s="79">
        <f t="shared" si="1"/>
        <v>4</v>
      </c>
      <c r="H15" s="79">
        <f t="shared" si="1"/>
        <v>3</v>
      </c>
      <c r="I15" s="79">
        <f t="shared" si="1"/>
        <v>2.4</v>
      </c>
      <c r="J15" s="79">
        <f t="shared" si="1"/>
        <v>2</v>
      </c>
      <c r="K15" s="79">
        <f t="shared" si="1"/>
        <v>1.7142857142857142</v>
      </c>
      <c r="L15" s="79">
        <f t="shared" si="1"/>
        <v>1.5</v>
      </c>
      <c r="M15" s="79">
        <f t="shared" si="1"/>
        <v>1.3333333333333333</v>
      </c>
      <c r="N15" s="79">
        <f t="shared" si="1"/>
        <v>1.2</v>
      </c>
      <c r="O15" s="79">
        <f t="shared" si="1"/>
        <v>1.0909090909090908</v>
      </c>
      <c r="P15" s="79">
        <f t="shared" si="1"/>
        <v>1</v>
      </c>
      <c r="Q15" s="79">
        <f t="shared" si="1"/>
        <v>0.92307692307692313</v>
      </c>
      <c r="T15" s="73">
        <f t="shared" ca="1" si="0"/>
        <v>46</v>
      </c>
    </row>
    <row r="16" spans="2:26" ht="50" customHeight="1">
      <c r="D16" s="77">
        <v>13</v>
      </c>
      <c r="E16" s="79">
        <f t="shared" si="2"/>
        <v>13</v>
      </c>
      <c r="F16" s="79">
        <f t="shared" si="1"/>
        <v>6.5</v>
      </c>
      <c r="G16" s="79">
        <f t="shared" si="1"/>
        <v>4.333333333333333</v>
      </c>
      <c r="H16" s="79">
        <f t="shared" si="1"/>
        <v>3.25</v>
      </c>
      <c r="I16" s="79">
        <f t="shared" si="1"/>
        <v>2.6</v>
      </c>
      <c r="J16" s="79">
        <f t="shared" si="1"/>
        <v>2.1666666666666665</v>
      </c>
      <c r="K16" s="79">
        <f t="shared" si="1"/>
        <v>1.8571428571428572</v>
      </c>
      <c r="L16" s="79">
        <f t="shared" si="1"/>
        <v>1.625</v>
      </c>
      <c r="M16" s="79">
        <f t="shared" si="1"/>
        <v>1.4444444444444444</v>
      </c>
      <c r="N16" s="79">
        <f t="shared" si="1"/>
        <v>1.3</v>
      </c>
      <c r="O16" s="79">
        <f t="shared" si="1"/>
        <v>1.1818181818181819</v>
      </c>
      <c r="P16" s="79">
        <f t="shared" si="1"/>
        <v>1.0833333333333333</v>
      </c>
      <c r="Q16" s="79">
        <f t="shared" si="1"/>
        <v>1</v>
      </c>
      <c r="T16" s="73">
        <f t="shared" ca="1" si="0"/>
        <v>2</v>
      </c>
    </row>
    <row r="17" spans="5:20" ht="50" customHeight="1">
      <c r="E17" s="79">
        <f t="shared" si="2"/>
        <v>0</v>
      </c>
      <c r="F17" s="79">
        <f t="shared" si="1"/>
        <v>0</v>
      </c>
      <c r="G17" s="79">
        <f t="shared" si="1"/>
        <v>0</v>
      </c>
      <c r="H17" s="79">
        <f t="shared" si="1"/>
        <v>0</v>
      </c>
      <c r="I17" s="79">
        <f t="shared" si="1"/>
        <v>0</v>
      </c>
      <c r="J17" s="79">
        <f t="shared" si="1"/>
        <v>0</v>
      </c>
      <c r="K17" s="79">
        <f t="shared" si="1"/>
        <v>0</v>
      </c>
      <c r="L17" s="79">
        <f t="shared" si="1"/>
        <v>0</v>
      </c>
      <c r="M17" s="79">
        <f t="shared" si="1"/>
        <v>0</v>
      </c>
      <c r="N17" s="79">
        <f t="shared" si="1"/>
        <v>0</v>
      </c>
      <c r="O17" s="79">
        <f t="shared" si="1"/>
        <v>0</v>
      </c>
      <c r="P17" s="79">
        <f t="shared" si="1"/>
        <v>0</v>
      </c>
      <c r="Q17" s="79">
        <f t="shared" si="1"/>
        <v>0</v>
      </c>
      <c r="T17" s="73">
        <f t="shared" ca="1" si="0"/>
        <v>18</v>
      </c>
    </row>
    <row r="18" spans="5:20" ht="50" customHeight="1">
      <c r="T18" s="73">
        <f t="shared" ca="1" si="0"/>
        <v>50</v>
      </c>
    </row>
    <row r="19" spans="5:20" ht="34">
      <c r="T19" s="73"/>
    </row>
    <row r="20" spans="5:20" ht="34">
      <c r="E20" s="47">
        <v>1</v>
      </c>
      <c r="F20" s="47">
        <v>1</v>
      </c>
      <c r="G20" s="47">
        <v>1</v>
      </c>
      <c r="H20" s="47">
        <v>1</v>
      </c>
      <c r="I20" s="47">
        <v>1</v>
      </c>
      <c r="J20" s="47">
        <v>1</v>
      </c>
      <c r="K20" s="47">
        <v>1</v>
      </c>
      <c r="T20" s="73"/>
    </row>
    <row r="21" spans="5:20" ht="34">
      <c r="T21" s="73"/>
    </row>
    <row r="22" spans="5:20" ht="34">
      <c r="T22" s="73"/>
    </row>
    <row r="23" spans="5:20" ht="34">
      <c r="T23" s="73"/>
    </row>
    <row r="24" spans="5:20" ht="34">
      <c r="T24" s="73"/>
    </row>
    <row r="25" spans="5:20" ht="34">
      <c r="T25" s="73"/>
    </row>
    <row r="26" spans="5:20" ht="34">
      <c r="T26" s="73"/>
    </row>
    <row r="27" spans="5:20" ht="34">
      <c r="T27" s="73"/>
    </row>
    <row r="28" spans="5:20" ht="34">
      <c r="T28" s="73"/>
    </row>
    <row r="29" spans="5:20" ht="34">
      <c r="T29" s="73"/>
    </row>
    <row r="30" spans="5:20" ht="34">
      <c r="T30" s="73"/>
    </row>
    <row r="31" spans="5:20" ht="34">
      <c r="T31" s="73"/>
    </row>
    <row r="32" spans="5:20" ht="34">
      <c r="T32" s="73"/>
    </row>
    <row r="33" spans="20:20" ht="34">
      <c r="T33" s="73"/>
    </row>
    <row r="34" spans="20:20" ht="34">
      <c r="T34" s="73"/>
    </row>
    <row r="35" spans="20:20" ht="34">
      <c r="T35" s="73"/>
    </row>
    <row r="36" spans="20:20" ht="34">
      <c r="T36" s="73"/>
    </row>
    <row r="37" spans="20:20" ht="34">
      <c r="T37" s="73"/>
    </row>
    <row r="38" spans="20:20" ht="34">
      <c r="T38" s="73"/>
    </row>
    <row r="39" spans="20:20" ht="34">
      <c r="T39" s="73"/>
    </row>
    <row r="40" spans="20:20" ht="34">
      <c r="T40" s="73"/>
    </row>
    <row r="41" spans="20:20" ht="34">
      <c r="T41" s="73"/>
    </row>
    <row r="42" spans="20:20" ht="34">
      <c r="T42" s="73"/>
    </row>
    <row r="43" spans="20:20" ht="34">
      <c r="T43" s="73"/>
    </row>
    <row r="44" spans="20:20" ht="34">
      <c r="T44" s="73"/>
    </row>
    <row r="45" spans="20:20" ht="34">
      <c r="T45" s="73"/>
    </row>
    <row r="46" spans="20:20" ht="34">
      <c r="T46" s="73"/>
    </row>
    <row r="47" spans="20:20" ht="34">
      <c r="T47" s="73"/>
    </row>
    <row r="48" spans="20:20" ht="34">
      <c r="T48" s="73"/>
    </row>
    <row r="49" spans="20:20" ht="34">
      <c r="T49" s="73"/>
    </row>
    <row r="50" spans="20:20" ht="34">
      <c r="T50" s="73"/>
    </row>
    <row r="51" spans="20:20" ht="34">
      <c r="T51" s="73"/>
    </row>
    <row r="52" spans="20:20" ht="34">
      <c r="T52" s="74"/>
    </row>
  </sheetData>
  <mergeCells count="1">
    <mergeCell ref="E2:O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8AA2C-4178-E24D-8D3C-79DBC177F8D4}">
  <sheetPr codeName="Sheet9"/>
  <dimension ref="C5:K36"/>
  <sheetViews>
    <sheetView topLeftCell="A13" zoomScaleNormal="100" workbookViewId="0">
      <selection activeCell="D31" sqref="D31"/>
    </sheetView>
  </sheetViews>
  <sheetFormatPr baseColWidth="10" defaultRowHeight="16"/>
  <sheetData>
    <row r="5" spans="3:10">
      <c r="C5">
        <v>0</v>
      </c>
      <c r="D5">
        <f>C5+1</f>
        <v>1</v>
      </c>
      <c r="E5">
        <f t="shared" ref="E5:J5" si="0">D5+1</f>
        <v>2</v>
      </c>
      <c r="F5">
        <f t="shared" si="0"/>
        <v>3</v>
      </c>
      <c r="G5">
        <f t="shared" si="0"/>
        <v>4</v>
      </c>
      <c r="H5">
        <f t="shared" si="0"/>
        <v>5</v>
      </c>
      <c r="I5">
        <f t="shared" si="0"/>
        <v>6</v>
      </c>
      <c r="J5">
        <f t="shared" si="0"/>
        <v>7</v>
      </c>
    </row>
    <row r="6" spans="3:10">
      <c r="C6">
        <f>C5+1</f>
        <v>1</v>
      </c>
      <c r="D6">
        <f>MIN(D5+1,C6+1)</f>
        <v>2</v>
      </c>
      <c r="E6">
        <f t="shared" ref="E6:J6" si="1">MIN(E5+1,D6+1)</f>
        <v>3</v>
      </c>
      <c r="F6">
        <f t="shared" si="1"/>
        <v>4</v>
      </c>
      <c r="G6">
        <f t="shared" si="1"/>
        <v>5</v>
      </c>
      <c r="H6">
        <f t="shared" si="1"/>
        <v>6</v>
      </c>
      <c r="I6">
        <f t="shared" si="1"/>
        <v>7</v>
      </c>
      <c r="J6">
        <f t="shared" si="1"/>
        <v>8</v>
      </c>
    </row>
    <row r="7" spans="3:10">
      <c r="C7">
        <f t="shared" ref="C7:C20" si="2">C6+1</f>
        <v>2</v>
      </c>
      <c r="D7">
        <f t="shared" ref="D7:D20" si="3">MIN(D6+1,C7+1)</f>
        <v>3</v>
      </c>
      <c r="E7">
        <f t="shared" ref="E7:E10" si="4">MIN(E6+1,D7+1)</f>
        <v>4</v>
      </c>
      <c r="F7">
        <f t="shared" ref="F7:F20" si="5">MIN(F6+1,E7+1)</f>
        <v>5</v>
      </c>
      <c r="G7">
        <f t="shared" ref="G7:G20" si="6">MIN(G6+1,F7+1)</f>
        <v>6</v>
      </c>
      <c r="H7">
        <f t="shared" ref="H7:H20" si="7">MIN(H6+1,G7+1)</f>
        <v>7</v>
      </c>
      <c r="I7">
        <f t="shared" ref="I7:I20" si="8">MIN(I6+1,H7+1)</f>
        <v>8</v>
      </c>
      <c r="J7">
        <f t="shared" ref="J7:J20" si="9">MIN(J6+1,I7+1)</f>
        <v>9</v>
      </c>
    </row>
    <row r="8" spans="3:10">
      <c r="C8">
        <f t="shared" si="2"/>
        <v>3</v>
      </c>
      <c r="D8">
        <f t="shared" si="3"/>
        <v>4</v>
      </c>
      <c r="E8">
        <f t="shared" si="4"/>
        <v>5</v>
      </c>
      <c r="F8">
        <f t="shared" si="5"/>
        <v>6</v>
      </c>
      <c r="G8">
        <f t="shared" si="6"/>
        <v>7</v>
      </c>
      <c r="H8">
        <f t="shared" si="7"/>
        <v>8</v>
      </c>
      <c r="I8">
        <f t="shared" si="8"/>
        <v>9</v>
      </c>
      <c r="J8">
        <f t="shared" si="9"/>
        <v>10</v>
      </c>
    </row>
    <row r="9" spans="3:10">
      <c r="C9">
        <f t="shared" si="2"/>
        <v>4</v>
      </c>
      <c r="D9">
        <f t="shared" si="3"/>
        <v>5</v>
      </c>
      <c r="E9">
        <f t="shared" si="4"/>
        <v>6</v>
      </c>
      <c r="F9">
        <f t="shared" si="5"/>
        <v>7</v>
      </c>
      <c r="G9">
        <f t="shared" si="6"/>
        <v>8</v>
      </c>
      <c r="H9">
        <f t="shared" si="7"/>
        <v>9</v>
      </c>
      <c r="I9">
        <f t="shared" si="8"/>
        <v>10</v>
      </c>
      <c r="J9">
        <f t="shared" si="9"/>
        <v>11</v>
      </c>
    </row>
    <row r="10" spans="3:10">
      <c r="C10">
        <f t="shared" si="2"/>
        <v>5</v>
      </c>
      <c r="D10">
        <f t="shared" si="3"/>
        <v>6</v>
      </c>
      <c r="E10">
        <f t="shared" si="4"/>
        <v>7</v>
      </c>
      <c r="F10">
        <f t="shared" si="5"/>
        <v>8</v>
      </c>
      <c r="G10">
        <f t="shared" si="6"/>
        <v>9</v>
      </c>
      <c r="H10">
        <f t="shared" si="7"/>
        <v>10</v>
      </c>
      <c r="I10">
        <f t="shared" si="8"/>
        <v>11</v>
      </c>
      <c r="J10">
        <f t="shared" si="9"/>
        <v>12</v>
      </c>
    </row>
    <row r="11" spans="3:10">
      <c r="C11">
        <f t="shared" si="2"/>
        <v>6</v>
      </c>
      <c r="D11">
        <f t="shared" si="3"/>
        <v>7</v>
      </c>
      <c r="E11">
        <v>1000</v>
      </c>
      <c r="F11">
        <f t="shared" si="5"/>
        <v>9</v>
      </c>
      <c r="G11">
        <f t="shared" si="6"/>
        <v>10</v>
      </c>
      <c r="H11">
        <f t="shared" si="7"/>
        <v>11</v>
      </c>
      <c r="I11">
        <f t="shared" si="8"/>
        <v>12</v>
      </c>
      <c r="J11">
        <f t="shared" si="9"/>
        <v>13</v>
      </c>
    </row>
    <row r="12" spans="3:10">
      <c r="C12">
        <f t="shared" si="2"/>
        <v>7</v>
      </c>
      <c r="D12">
        <f t="shared" si="3"/>
        <v>8</v>
      </c>
      <c r="E12">
        <v>1000</v>
      </c>
      <c r="F12">
        <f t="shared" si="5"/>
        <v>10</v>
      </c>
      <c r="G12">
        <f t="shared" si="6"/>
        <v>11</v>
      </c>
      <c r="H12">
        <f t="shared" si="7"/>
        <v>12</v>
      </c>
      <c r="I12">
        <f t="shared" si="8"/>
        <v>13</v>
      </c>
      <c r="J12">
        <f t="shared" si="9"/>
        <v>14</v>
      </c>
    </row>
    <row r="13" spans="3:10">
      <c r="C13">
        <f t="shared" si="2"/>
        <v>8</v>
      </c>
      <c r="D13">
        <f t="shared" si="3"/>
        <v>9</v>
      </c>
      <c r="E13">
        <v>1000</v>
      </c>
      <c r="F13">
        <f t="shared" si="5"/>
        <v>11</v>
      </c>
      <c r="G13">
        <f t="shared" si="6"/>
        <v>12</v>
      </c>
      <c r="H13">
        <f t="shared" si="7"/>
        <v>13</v>
      </c>
      <c r="I13">
        <f t="shared" si="8"/>
        <v>14</v>
      </c>
      <c r="J13">
        <f t="shared" si="9"/>
        <v>15</v>
      </c>
    </row>
    <row r="14" spans="3:10">
      <c r="C14">
        <f t="shared" si="2"/>
        <v>9</v>
      </c>
      <c r="D14">
        <f t="shared" si="3"/>
        <v>10</v>
      </c>
      <c r="E14">
        <v>1000</v>
      </c>
      <c r="F14">
        <f t="shared" si="5"/>
        <v>12</v>
      </c>
      <c r="G14">
        <f t="shared" si="6"/>
        <v>13</v>
      </c>
      <c r="H14">
        <f t="shared" si="7"/>
        <v>14</v>
      </c>
      <c r="I14">
        <f t="shared" si="8"/>
        <v>15</v>
      </c>
      <c r="J14">
        <f t="shared" si="9"/>
        <v>16</v>
      </c>
    </row>
    <row r="15" spans="3:10">
      <c r="C15">
        <f t="shared" si="2"/>
        <v>10</v>
      </c>
      <c r="D15">
        <f t="shared" si="3"/>
        <v>11</v>
      </c>
      <c r="E15">
        <v>1000</v>
      </c>
      <c r="F15">
        <f t="shared" si="5"/>
        <v>13</v>
      </c>
      <c r="G15">
        <f t="shared" si="6"/>
        <v>14</v>
      </c>
      <c r="H15">
        <f t="shared" si="7"/>
        <v>15</v>
      </c>
      <c r="I15">
        <f t="shared" si="8"/>
        <v>16</v>
      </c>
      <c r="J15">
        <f t="shared" si="9"/>
        <v>17</v>
      </c>
    </row>
    <row r="16" spans="3:10">
      <c r="C16">
        <f t="shared" si="2"/>
        <v>11</v>
      </c>
      <c r="D16">
        <f t="shared" si="3"/>
        <v>12</v>
      </c>
      <c r="E16">
        <v>1000</v>
      </c>
      <c r="F16">
        <f t="shared" si="5"/>
        <v>14</v>
      </c>
      <c r="G16">
        <f t="shared" si="6"/>
        <v>15</v>
      </c>
      <c r="H16">
        <f t="shared" si="7"/>
        <v>16</v>
      </c>
      <c r="I16">
        <f t="shared" si="8"/>
        <v>17</v>
      </c>
      <c r="J16">
        <f t="shared" si="9"/>
        <v>18</v>
      </c>
    </row>
    <row r="17" spans="3:11">
      <c r="C17">
        <f t="shared" si="2"/>
        <v>12</v>
      </c>
      <c r="D17">
        <f t="shared" si="3"/>
        <v>13</v>
      </c>
      <c r="E17">
        <v>1000</v>
      </c>
      <c r="F17">
        <f t="shared" si="5"/>
        <v>15</v>
      </c>
      <c r="G17">
        <f t="shared" si="6"/>
        <v>16</v>
      </c>
      <c r="H17">
        <f t="shared" si="7"/>
        <v>17</v>
      </c>
      <c r="I17">
        <f t="shared" si="8"/>
        <v>18</v>
      </c>
      <c r="J17">
        <f t="shared" si="9"/>
        <v>19</v>
      </c>
    </row>
    <row r="18" spans="3:11">
      <c r="C18">
        <f t="shared" si="2"/>
        <v>13</v>
      </c>
      <c r="D18">
        <f t="shared" si="3"/>
        <v>14</v>
      </c>
      <c r="E18">
        <v>1000</v>
      </c>
      <c r="F18">
        <f t="shared" si="5"/>
        <v>16</v>
      </c>
      <c r="G18">
        <f t="shared" si="6"/>
        <v>17</v>
      </c>
      <c r="H18">
        <f t="shared" si="7"/>
        <v>18</v>
      </c>
      <c r="I18">
        <f t="shared" si="8"/>
        <v>19</v>
      </c>
      <c r="J18">
        <f t="shared" si="9"/>
        <v>20</v>
      </c>
    </row>
    <row r="19" spans="3:11">
      <c r="C19">
        <f t="shared" si="2"/>
        <v>14</v>
      </c>
      <c r="D19">
        <f t="shared" si="3"/>
        <v>15</v>
      </c>
      <c r="E19">
        <v>1000</v>
      </c>
      <c r="F19">
        <f t="shared" si="5"/>
        <v>17</v>
      </c>
      <c r="G19">
        <f t="shared" si="6"/>
        <v>18</v>
      </c>
      <c r="H19">
        <f t="shared" si="7"/>
        <v>19</v>
      </c>
      <c r="I19">
        <f t="shared" si="8"/>
        <v>20</v>
      </c>
      <c r="J19">
        <f t="shared" si="9"/>
        <v>21</v>
      </c>
    </row>
    <row r="20" spans="3:11">
      <c r="C20">
        <f t="shared" si="2"/>
        <v>15</v>
      </c>
      <c r="D20">
        <f t="shared" si="3"/>
        <v>16</v>
      </c>
      <c r="E20">
        <v>1000</v>
      </c>
      <c r="F20">
        <f t="shared" si="5"/>
        <v>18</v>
      </c>
      <c r="G20">
        <f t="shared" si="6"/>
        <v>19</v>
      </c>
      <c r="H20">
        <f t="shared" si="7"/>
        <v>20</v>
      </c>
      <c r="I20">
        <f t="shared" si="8"/>
        <v>21</v>
      </c>
      <c r="J20">
        <f t="shared" si="9"/>
        <v>22</v>
      </c>
    </row>
    <row r="24" spans="3:11">
      <c r="C24">
        <v>0</v>
      </c>
      <c r="D24">
        <f>C24+1</f>
        <v>1</v>
      </c>
      <c r="E24">
        <f t="shared" ref="E24:K24" si="10">D24+1</f>
        <v>2</v>
      </c>
      <c r="F24">
        <f t="shared" si="10"/>
        <v>3</v>
      </c>
      <c r="G24">
        <f t="shared" si="10"/>
        <v>4</v>
      </c>
      <c r="H24">
        <f t="shared" si="10"/>
        <v>5</v>
      </c>
      <c r="I24">
        <f t="shared" si="10"/>
        <v>6</v>
      </c>
      <c r="J24">
        <f t="shared" si="10"/>
        <v>7</v>
      </c>
      <c r="K24">
        <f t="shared" si="10"/>
        <v>8</v>
      </c>
    </row>
    <row r="25" spans="3:11">
      <c r="C25">
        <f>C24+1</f>
        <v>1</v>
      </c>
      <c r="D25">
        <f>$C$25*D$24</f>
        <v>1</v>
      </c>
      <c r="E25">
        <f t="shared" ref="E25:K25" si="11">$C$25*E$24</f>
        <v>2</v>
      </c>
      <c r="F25">
        <f t="shared" si="11"/>
        <v>3</v>
      </c>
      <c r="G25">
        <f t="shared" si="11"/>
        <v>4</v>
      </c>
      <c r="H25">
        <f t="shared" si="11"/>
        <v>5</v>
      </c>
      <c r="I25">
        <f t="shared" si="11"/>
        <v>6</v>
      </c>
      <c r="J25">
        <f t="shared" si="11"/>
        <v>7</v>
      </c>
      <c r="K25">
        <f t="shared" si="11"/>
        <v>8</v>
      </c>
    </row>
    <row r="26" spans="3:11">
      <c r="C26">
        <f t="shared" ref="C26:C36" si="12">C25+1</f>
        <v>2</v>
      </c>
      <c r="D26">
        <f t="shared" ref="D26:K26" si="13">C26+1</f>
        <v>3</v>
      </c>
      <c r="E26">
        <f t="shared" si="13"/>
        <v>4</v>
      </c>
      <c r="F26">
        <f t="shared" si="13"/>
        <v>5</v>
      </c>
      <c r="G26">
        <f t="shared" si="13"/>
        <v>6</v>
      </c>
      <c r="H26">
        <f t="shared" si="13"/>
        <v>7</v>
      </c>
      <c r="I26">
        <f t="shared" si="13"/>
        <v>8</v>
      </c>
      <c r="J26">
        <f t="shared" si="13"/>
        <v>9</v>
      </c>
      <c r="K26">
        <f t="shared" si="13"/>
        <v>10</v>
      </c>
    </row>
    <row r="27" spans="3:11">
      <c r="C27">
        <f t="shared" si="12"/>
        <v>3</v>
      </c>
      <c r="D27">
        <f t="shared" ref="D27:K27" si="14">C27+1</f>
        <v>4</v>
      </c>
      <c r="E27">
        <f t="shared" si="14"/>
        <v>5</v>
      </c>
      <c r="F27">
        <f t="shared" si="14"/>
        <v>6</v>
      </c>
      <c r="G27">
        <f t="shared" si="14"/>
        <v>7</v>
      </c>
      <c r="H27">
        <f t="shared" si="14"/>
        <v>8</v>
      </c>
      <c r="I27">
        <f t="shared" si="14"/>
        <v>9</v>
      </c>
      <c r="J27">
        <f t="shared" si="14"/>
        <v>10</v>
      </c>
      <c r="K27">
        <f t="shared" si="14"/>
        <v>11</v>
      </c>
    </row>
    <row r="28" spans="3:11">
      <c r="C28">
        <f t="shared" si="12"/>
        <v>4</v>
      </c>
      <c r="D28">
        <f t="shared" ref="D28:K28" si="15">C28+1</f>
        <v>5</v>
      </c>
      <c r="E28">
        <f t="shared" si="15"/>
        <v>6</v>
      </c>
      <c r="F28">
        <f t="shared" si="15"/>
        <v>7</v>
      </c>
      <c r="G28">
        <f t="shared" si="15"/>
        <v>8</v>
      </c>
      <c r="H28">
        <f t="shared" si="15"/>
        <v>9</v>
      </c>
      <c r="I28">
        <f t="shared" si="15"/>
        <v>10</v>
      </c>
      <c r="J28">
        <f t="shared" si="15"/>
        <v>11</v>
      </c>
      <c r="K28">
        <f t="shared" si="15"/>
        <v>12</v>
      </c>
    </row>
    <row r="29" spans="3:11">
      <c r="C29">
        <f t="shared" si="12"/>
        <v>5</v>
      </c>
      <c r="D29">
        <f t="shared" ref="D29:K29" si="16">C29+1</f>
        <v>6</v>
      </c>
      <c r="E29">
        <f t="shared" si="16"/>
        <v>7</v>
      </c>
      <c r="F29">
        <f t="shared" si="16"/>
        <v>8</v>
      </c>
      <c r="G29">
        <f t="shared" si="16"/>
        <v>9</v>
      </c>
      <c r="H29">
        <f t="shared" si="16"/>
        <v>10</v>
      </c>
      <c r="I29">
        <f t="shared" si="16"/>
        <v>11</v>
      </c>
      <c r="J29">
        <f t="shared" si="16"/>
        <v>12</v>
      </c>
      <c r="K29">
        <f t="shared" si="16"/>
        <v>13</v>
      </c>
    </row>
    <row r="30" spans="3:11">
      <c r="C30">
        <f t="shared" si="12"/>
        <v>6</v>
      </c>
      <c r="D30">
        <f t="shared" ref="D30:K30" si="17">C30+1</f>
        <v>7</v>
      </c>
      <c r="E30">
        <f t="shared" si="17"/>
        <v>8</v>
      </c>
      <c r="F30">
        <f t="shared" si="17"/>
        <v>9</v>
      </c>
      <c r="G30">
        <f t="shared" si="17"/>
        <v>10</v>
      </c>
      <c r="H30">
        <f t="shared" si="17"/>
        <v>11</v>
      </c>
      <c r="I30">
        <f t="shared" si="17"/>
        <v>12</v>
      </c>
      <c r="J30">
        <f t="shared" si="17"/>
        <v>13</v>
      </c>
      <c r="K30">
        <f t="shared" si="17"/>
        <v>14</v>
      </c>
    </row>
    <row r="31" spans="3:11">
      <c r="C31">
        <f t="shared" si="12"/>
        <v>7</v>
      </c>
      <c r="D31">
        <f t="shared" ref="D31:K31" si="18">C31+1</f>
        <v>8</v>
      </c>
      <c r="E31">
        <f t="shared" si="18"/>
        <v>9</v>
      </c>
      <c r="F31">
        <f t="shared" si="18"/>
        <v>10</v>
      </c>
      <c r="G31">
        <f t="shared" si="18"/>
        <v>11</v>
      </c>
      <c r="H31">
        <f t="shared" si="18"/>
        <v>12</v>
      </c>
      <c r="I31">
        <f t="shared" si="18"/>
        <v>13</v>
      </c>
      <c r="J31">
        <f t="shared" si="18"/>
        <v>14</v>
      </c>
      <c r="K31">
        <f t="shared" si="18"/>
        <v>15</v>
      </c>
    </row>
    <row r="32" spans="3:11">
      <c r="C32">
        <f t="shared" si="12"/>
        <v>8</v>
      </c>
      <c r="D32">
        <f t="shared" ref="D32:K32" si="19">C32+1</f>
        <v>9</v>
      </c>
      <c r="E32">
        <f t="shared" si="19"/>
        <v>10</v>
      </c>
      <c r="F32">
        <f t="shared" si="19"/>
        <v>11</v>
      </c>
      <c r="G32">
        <f t="shared" si="19"/>
        <v>12</v>
      </c>
      <c r="H32">
        <f t="shared" si="19"/>
        <v>13</v>
      </c>
      <c r="I32">
        <f t="shared" si="19"/>
        <v>14</v>
      </c>
      <c r="J32">
        <f t="shared" si="19"/>
        <v>15</v>
      </c>
      <c r="K32">
        <f t="shared" si="19"/>
        <v>16</v>
      </c>
    </row>
    <row r="33" spans="3:11">
      <c r="C33">
        <f t="shared" si="12"/>
        <v>9</v>
      </c>
      <c r="D33">
        <f t="shared" ref="D33:K33" si="20">C33+1</f>
        <v>10</v>
      </c>
      <c r="E33">
        <f t="shared" si="20"/>
        <v>11</v>
      </c>
      <c r="F33">
        <f t="shared" si="20"/>
        <v>12</v>
      </c>
      <c r="G33">
        <f t="shared" si="20"/>
        <v>13</v>
      </c>
      <c r="H33">
        <f t="shared" si="20"/>
        <v>14</v>
      </c>
      <c r="I33">
        <f t="shared" si="20"/>
        <v>15</v>
      </c>
      <c r="J33">
        <f t="shared" si="20"/>
        <v>16</v>
      </c>
      <c r="K33">
        <f t="shared" si="20"/>
        <v>17</v>
      </c>
    </row>
    <row r="34" spans="3:11">
      <c r="C34">
        <f t="shared" si="12"/>
        <v>10</v>
      </c>
      <c r="D34">
        <f t="shared" ref="D34:K34" si="21">C34+1</f>
        <v>11</v>
      </c>
      <c r="E34">
        <f t="shared" si="21"/>
        <v>12</v>
      </c>
      <c r="F34">
        <f t="shared" si="21"/>
        <v>13</v>
      </c>
      <c r="G34">
        <f t="shared" si="21"/>
        <v>14</v>
      </c>
      <c r="H34">
        <f t="shared" si="21"/>
        <v>15</v>
      </c>
      <c r="I34">
        <f t="shared" si="21"/>
        <v>16</v>
      </c>
      <c r="J34">
        <f t="shared" si="21"/>
        <v>17</v>
      </c>
      <c r="K34">
        <f t="shared" si="21"/>
        <v>18</v>
      </c>
    </row>
    <row r="35" spans="3:11">
      <c r="C35">
        <f t="shared" si="12"/>
        <v>11</v>
      </c>
      <c r="D35">
        <f t="shared" ref="D35:K35" si="22">C35+1</f>
        <v>12</v>
      </c>
      <c r="E35">
        <f t="shared" si="22"/>
        <v>13</v>
      </c>
      <c r="F35">
        <f t="shared" si="22"/>
        <v>14</v>
      </c>
      <c r="G35">
        <f t="shared" si="22"/>
        <v>15</v>
      </c>
      <c r="H35">
        <f t="shared" si="22"/>
        <v>16</v>
      </c>
      <c r="I35">
        <f t="shared" si="22"/>
        <v>17</v>
      </c>
      <c r="J35">
        <f t="shared" si="22"/>
        <v>18</v>
      </c>
      <c r="K35">
        <f t="shared" si="22"/>
        <v>19</v>
      </c>
    </row>
    <row r="36" spans="3:11">
      <c r="C36">
        <f t="shared" si="12"/>
        <v>12</v>
      </c>
      <c r="D36">
        <f t="shared" ref="D36:K36" si="23">C36+1</f>
        <v>13</v>
      </c>
      <c r="E36">
        <f t="shared" si="23"/>
        <v>14</v>
      </c>
      <c r="F36">
        <f t="shared" si="23"/>
        <v>15</v>
      </c>
      <c r="G36">
        <f t="shared" si="23"/>
        <v>16</v>
      </c>
      <c r="H36">
        <f t="shared" si="23"/>
        <v>17</v>
      </c>
      <c r="I36">
        <f t="shared" si="23"/>
        <v>18</v>
      </c>
      <c r="J36">
        <f t="shared" si="23"/>
        <v>19</v>
      </c>
      <c r="K36">
        <f t="shared" si="23"/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Connect5</vt:lpstr>
      <vt:lpstr>matrix multiplication</vt:lpstr>
      <vt:lpstr>Compund</vt:lpstr>
      <vt:lpstr>5W3S</vt:lpstr>
      <vt:lpstr>Mul Table</vt:lpstr>
      <vt:lpstr>Pascal Triangle</vt:lpstr>
      <vt:lpstr>Sheet2</vt:lpstr>
      <vt:lpstr>Sheet3</vt:lpstr>
      <vt:lpstr>Sheet4</vt:lpstr>
      <vt:lpstr>TicTacToe</vt:lpstr>
      <vt:lpstr>Time Table</vt:lpstr>
      <vt:lpstr>maze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Chung-Wen Tsao</dc:creator>
  <cp:lastModifiedBy>Microsoft Office User</cp:lastModifiedBy>
  <dcterms:created xsi:type="dcterms:W3CDTF">2018-05-29T15:19:15Z</dcterms:created>
  <dcterms:modified xsi:type="dcterms:W3CDTF">2019-07-01T15:05:13Z</dcterms:modified>
</cp:coreProperties>
</file>