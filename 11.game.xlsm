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sao/Downloads/"/>
    </mc:Choice>
  </mc:AlternateContent>
  <xr:revisionPtr revIDLastSave="0" documentId="13_ncr:1_{253CE6F1-6C85-EC49-A8B9-BDB211C5BFE1}" xr6:coauthVersionLast="43" xr6:coauthVersionMax="43" xr10:uidLastSave="{00000000-0000-0000-0000-000000000000}"/>
  <bookViews>
    <workbookView xWindow="0" yWindow="0" windowWidth="28800" windowHeight="18000" tabRatio="500" xr2:uid="{00000000-000D-0000-FFFF-FFFF00000000}"/>
  </bookViews>
  <sheets>
    <sheet name="Connect5" sheetId="17" r:id="rId1"/>
    <sheet name="Compund" sheetId="6" r:id="rId2"/>
    <sheet name="5W3S" sheetId="15" r:id="rId3"/>
    <sheet name="Mul Table" sheetId="4" r:id="rId4"/>
    <sheet name="Pascal Triangle" sheetId="5" r:id="rId5"/>
    <sheet name="Sheet2" sheetId="19" r:id="rId6"/>
    <sheet name="Sheet3" sheetId="13" r:id="rId7"/>
    <sheet name="Sheet4" sheetId="20" r:id="rId8"/>
    <sheet name="TicTacToe" sheetId="18" r:id="rId9"/>
    <sheet name="Time Table" sheetId="16" r:id="rId10"/>
    <sheet name="maze" sheetId="10" r:id="rId11"/>
  </sheets>
  <externalReferences>
    <externalReference r:id="rId12"/>
  </externalReferences>
  <definedNames>
    <definedName name="AidCode">[1]Debug!$N$16</definedName>
    <definedName name="HighlightNumber">[1]Debug!$N$17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9" i="4" l="1"/>
  <c r="O21" i="4" s="1"/>
  <c r="P19" i="4"/>
  <c r="P20" i="4" s="1"/>
  <c r="O20" i="4"/>
  <c r="P21" i="4"/>
  <c r="O22" i="4"/>
  <c r="O23" i="4"/>
  <c r="P23" i="4"/>
  <c r="O24" i="4"/>
  <c r="P24" i="4"/>
  <c r="O25" i="4"/>
  <c r="P25" i="4"/>
  <c r="O26" i="4"/>
  <c r="P26" i="4"/>
  <c r="O27" i="4"/>
  <c r="P27" i="4"/>
  <c r="O28" i="4"/>
  <c r="P28" i="4"/>
  <c r="O29" i="4"/>
  <c r="P29" i="4"/>
  <c r="O30" i="4"/>
  <c r="P30" i="4"/>
  <c r="O31" i="4"/>
  <c r="P31" i="4"/>
  <c r="F29" i="4"/>
  <c r="G29" i="4"/>
  <c r="H29" i="4"/>
  <c r="I29" i="4"/>
  <c r="J29" i="4"/>
  <c r="K29" i="4"/>
  <c r="L29" i="4"/>
  <c r="M29" i="4"/>
  <c r="N29" i="4"/>
  <c r="F30" i="4"/>
  <c r="G30" i="4"/>
  <c r="H30" i="4"/>
  <c r="I30" i="4"/>
  <c r="J30" i="4"/>
  <c r="K30" i="4"/>
  <c r="L30" i="4"/>
  <c r="M30" i="4"/>
  <c r="N30" i="4"/>
  <c r="F31" i="4"/>
  <c r="G31" i="4"/>
  <c r="H31" i="4"/>
  <c r="I31" i="4"/>
  <c r="J31" i="4"/>
  <c r="K31" i="4"/>
  <c r="L31" i="4"/>
  <c r="M31" i="4"/>
  <c r="N31" i="4"/>
  <c r="F21" i="4"/>
  <c r="G21" i="4"/>
  <c r="H21" i="4"/>
  <c r="I21" i="4"/>
  <c r="J21" i="4"/>
  <c r="K21" i="4"/>
  <c r="L21" i="4"/>
  <c r="M21" i="4"/>
  <c r="N21" i="4"/>
  <c r="F22" i="4"/>
  <c r="G22" i="4"/>
  <c r="H22" i="4"/>
  <c r="I22" i="4"/>
  <c r="J22" i="4"/>
  <c r="K22" i="4"/>
  <c r="L22" i="4"/>
  <c r="M22" i="4"/>
  <c r="N22" i="4"/>
  <c r="F23" i="4"/>
  <c r="G23" i="4"/>
  <c r="H23" i="4"/>
  <c r="I23" i="4"/>
  <c r="J23" i="4"/>
  <c r="K23" i="4"/>
  <c r="L23" i="4"/>
  <c r="M23" i="4"/>
  <c r="N23" i="4"/>
  <c r="F24" i="4"/>
  <c r="G24" i="4"/>
  <c r="H24" i="4"/>
  <c r="I24" i="4"/>
  <c r="J24" i="4"/>
  <c r="K24" i="4"/>
  <c r="L24" i="4"/>
  <c r="M24" i="4"/>
  <c r="N24" i="4"/>
  <c r="F25" i="4"/>
  <c r="G25" i="4"/>
  <c r="H25" i="4"/>
  <c r="I25" i="4"/>
  <c r="J25" i="4"/>
  <c r="K25" i="4"/>
  <c r="L25" i="4"/>
  <c r="M25" i="4"/>
  <c r="N25" i="4"/>
  <c r="F26" i="4"/>
  <c r="G26" i="4"/>
  <c r="H26" i="4"/>
  <c r="I26" i="4"/>
  <c r="J26" i="4"/>
  <c r="K26" i="4"/>
  <c r="L26" i="4"/>
  <c r="M26" i="4"/>
  <c r="N26" i="4"/>
  <c r="F27" i="4"/>
  <c r="G27" i="4"/>
  <c r="H27" i="4"/>
  <c r="I27" i="4"/>
  <c r="J27" i="4"/>
  <c r="K27" i="4"/>
  <c r="L27" i="4"/>
  <c r="M27" i="4"/>
  <c r="N27" i="4"/>
  <c r="F28" i="4"/>
  <c r="G28" i="4"/>
  <c r="H28" i="4"/>
  <c r="I28" i="4"/>
  <c r="J28" i="4"/>
  <c r="K28" i="4"/>
  <c r="L28" i="4"/>
  <c r="M28" i="4"/>
  <c r="N28" i="4"/>
  <c r="G20" i="4"/>
  <c r="H20" i="4"/>
  <c r="I20" i="4"/>
  <c r="J20" i="4"/>
  <c r="K20" i="4"/>
  <c r="L20" i="4"/>
  <c r="M20" i="4"/>
  <c r="N20" i="4"/>
  <c r="F20" i="4"/>
  <c r="P46" i="6"/>
  <c r="O46" i="6"/>
  <c r="P22" i="4" l="1"/>
  <c r="Q19" i="4"/>
  <c r="H6" i="16"/>
  <c r="K8" i="16"/>
  <c r="K11" i="16"/>
  <c r="I13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E6" i="16"/>
  <c r="F6" i="16"/>
  <c r="G6" i="16"/>
  <c r="I6" i="16"/>
  <c r="J6" i="16"/>
  <c r="K6" i="16"/>
  <c r="L6" i="16"/>
  <c r="M6" i="16"/>
  <c r="N6" i="16"/>
  <c r="O6" i="16"/>
  <c r="P6" i="16"/>
  <c r="Q6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E8" i="16"/>
  <c r="F8" i="16"/>
  <c r="G8" i="16"/>
  <c r="H8" i="16"/>
  <c r="I8" i="16"/>
  <c r="J8" i="16"/>
  <c r="L8" i="16"/>
  <c r="M8" i="16"/>
  <c r="N8" i="16"/>
  <c r="O8" i="16"/>
  <c r="P8" i="16"/>
  <c r="Q8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E11" i="16"/>
  <c r="F11" i="16"/>
  <c r="G11" i="16"/>
  <c r="H11" i="16"/>
  <c r="I11" i="16"/>
  <c r="J11" i="16"/>
  <c r="L11" i="16"/>
  <c r="M11" i="16"/>
  <c r="N11" i="16"/>
  <c r="O11" i="16"/>
  <c r="P11" i="16"/>
  <c r="Q11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E13" i="16"/>
  <c r="F13" i="16"/>
  <c r="G13" i="16"/>
  <c r="H13" i="16"/>
  <c r="J13" i="16"/>
  <c r="K13" i="16"/>
  <c r="L13" i="16"/>
  <c r="M13" i="16"/>
  <c r="N13" i="16"/>
  <c r="O13" i="16"/>
  <c r="P13" i="16"/>
  <c r="Q13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F4" i="16"/>
  <c r="G4" i="16"/>
  <c r="H4" i="16"/>
  <c r="I4" i="16"/>
  <c r="J4" i="16"/>
  <c r="K4" i="16"/>
  <c r="L4" i="16"/>
  <c r="M4" i="16"/>
  <c r="N4" i="16"/>
  <c r="O4" i="16"/>
  <c r="P4" i="16"/>
  <c r="Q4" i="16"/>
  <c r="E4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2" i="16"/>
  <c r="Q21" i="4" l="1"/>
  <c r="Q25" i="4"/>
  <c r="Q29" i="4"/>
  <c r="Q26" i="4"/>
  <c r="Q20" i="4"/>
  <c r="Q24" i="4"/>
  <c r="Q28" i="4"/>
  <c r="Q30" i="4"/>
  <c r="Q23" i="4"/>
  <c r="Q27" i="4"/>
  <c r="Q31" i="4"/>
  <c r="Q22" i="4"/>
  <c r="Z3" i="16"/>
  <c r="Z2" i="16"/>
  <c r="S12" i="18"/>
  <c r="T12" i="18"/>
  <c r="U12" i="18"/>
  <c r="S9" i="18"/>
  <c r="T9" i="18"/>
  <c r="U9" i="18"/>
  <c r="S10" i="18"/>
  <c r="T10" i="18"/>
  <c r="U10" i="18"/>
  <c r="T8" i="18"/>
  <c r="U8" i="18"/>
  <c r="S8" i="18"/>
  <c r="T13" i="18"/>
  <c r="S14" i="18"/>
  <c r="U14" i="18"/>
  <c r="S5" i="18"/>
  <c r="T5" i="18"/>
  <c r="X5" i="18" s="1"/>
  <c r="U5" i="18"/>
  <c r="Y5" i="18" s="1"/>
  <c r="S6" i="18"/>
  <c r="W6" i="18" s="1"/>
  <c r="T6" i="18"/>
  <c r="U6" i="18"/>
  <c r="T4" i="18"/>
  <c r="X4" i="18" s="1"/>
  <c r="U4" i="18"/>
  <c r="S4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3" i="18"/>
  <c r="K2" i="18"/>
  <c r="Y6" i="18" l="1"/>
  <c r="X6" i="18"/>
  <c r="W4" i="18"/>
  <c r="W5" i="18"/>
  <c r="Y4" i="18"/>
  <c r="L29" i="17"/>
  <c r="M29" i="17"/>
  <c r="N29" i="17"/>
  <c r="L30" i="17"/>
  <c r="M30" i="17"/>
  <c r="N30" i="17"/>
  <c r="N28" i="17"/>
  <c r="M28" i="17"/>
  <c r="L28" i="17"/>
  <c r="P4" i="15"/>
  <c r="Q6" i="17"/>
  <c r="R22" i="13" l="1"/>
  <c r="S22" i="13"/>
  <c r="T22" i="13"/>
  <c r="U22" i="13"/>
  <c r="V22" i="13"/>
  <c r="W22" i="13"/>
  <c r="X22" i="13"/>
  <c r="Y22" i="13"/>
  <c r="Z22" i="13"/>
  <c r="AA22" i="13"/>
  <c r="Q22" i="13"/>
  <c r="V12" i="15"/>
  <c r="W12" i="15"/>
  <c r="X12" i="15"/>
  <c r="Y12" i="15"/>
  <c r="Z12" i="15"/>
  <c r="V13" i="15"/>
  <c r="W13" i="15"/>
  <c r="X13" i="15"/>
  <c r="Y13" i="15"/>
  <c r="Z13" i="15"/>
  <c r="V14" i="15"/>
  <c r="W14" i="15"/>
  <c r="X14" i="15"/>
  <c r="Y14" i="15"/>
  <c r="Z14" i="15"/>
  <c r="V15" i="15"/>
  <c r="W15" i="15"/>
  <c r="X15" i="15"/>
  <c r="Y15" i="15"/>
  <c r="Z15" i="15"/>
  <c r="W11" i="15"/>
  <c r="X11" i="15"/>
  <c r="Y11" i="15"/>
  <c r="Z11" i="15"/>
  <c r="V11" i="15"/>
  <c r="V5" i="15"/>
  <c r="W5" i="15"/>
  <c r="X5" i="15"/>
  <c r="Y5" i="15"/>
  <c r="Z5" i="15"/>
  <c r="V6" i="15"/>
  <c r="W6" i="15"/>
  <c r="X6" i="15"/>
  <c r="Y6" i="15"/>
  <c r="Z6" i="15"/>
  <c r="V7" i="15"/>
  <c r="W7" i="15"/>
  <c r="X7" i="15"/>
  <c r="Y7" i="15"/>
  <c r="Z7" i="15"/>
  <c r="V8" i="15"/>
  <c r="W8" i="15"/>
  <c r="X8" i="15"/>
  <c r="Y8" i="15"/>
  <c r="Z8" i="15"/>
  <c r="W4" i="15"/>
  <c r="X4" i="15"/>
  <c r="Y4" i="15"/>
  <c r="Z4" i="15"/>
  <c r="V4" i="15"/>
  <c r="P12" i="15"/>
  <c r="Q12" i="15"/>
  <c r="R12" i="15"/>
  <c r="S12" i="15"/>
  <c r="T12" i="15"/>
  <c r="P13" i="15"/>
  <c r="Q13" i="15"/>
  <c r="R13" i="15"/>
  <c r="S13" i="15"/>
  <c r="T13" i="15"/>
  <c r="P14" i="15"/>
  <c r="Q14" i="15"/>
  <c r="R14" i="15"/>
  <c r="S14" i="15"/>
  <c r="T14" i="15"/>
  <c r="P15" i="15"/>
  <c r="Q15" i="15"/>
  <c r="R15" i="15"/>
  <c r="S15" i="15"/>
  <c r="T15" i="15"/>
  <c r="Q11" i="15"/>
  <c r="R11" i="15"/>
  <c r="S11" i="15"/>
  <c r="T11" i="15"/>
  <c r="P11" i="15"/>
  <c r="Q4" i="15"/>
  <c r="R4" i="15"/>
  <c r="S4" i="15"/>
  <c r="T4" i="15"/>
  <c r="Q5" i="15"/>
  <c r="R5" i="15"/>
  <c r="S5" i="15"/>
  <c r="T5" i="15"/>
  <c r="Q6" i="15"/>
  <c r="R6" i="15"/>
  <c r="S6" i="15"/>
  <c r="T6" i="15"/>
  <c r="Q7" i="15"/>
  <c r="R7" i="15"/>
  <c r="S7" i="15"/>
  <c r="T7" i="15"/>
  <c r="Q8" i="15"/>
  <c r="R8" i="15"/>
  <c r="S8" i="15"/>
  <c r="T8" i="15"/>
  <c r="P5" i="15"/>
  <c r="P6" i="15"/>
  <c r="P7" i="15"/>
  <c r="P8" i="15"/>
  <c r="Q7" i="17"/>
  <c r="R7" i="17"/>
  <c r="S7" i="17"/>
  <c r="T7" i="17"/>
  <c r="U7" i="17"/>
  <c r="V7" i="17"/>
  <c r="W7" i="17"/>
  <c r="Q8" i="17"/>
  <c r="R8" i="17"/>
  <c r="S8" i="17"/>
  <c r="T8" i="17"/>
  <c r="U8" i="17"/>
  <c r="V8" i="17"/>
  <c r="W8" i="17"/>
  <c r="Q9" i="17"/>
  <c r="R9" i="17"/>
  <c r="S9" i="17"/>
  <c r="T9" i="17"/>
  <c r="U9" i="17"/>
  <c r="V9" i="17"/>
  <c r="W9" i="17"/>
  <c r="Q10" i="17"/>
  <c r="R10" i="17"/>
  <c r="S10" i="17"/>
  <c r="T10" i="17"/>
  <c r="U10" i="17"/>
  <c r="V10" i="17"/>
  <c r="W10" i="17"/>
  <c r="Q11" i="17"/>
  <c r="R11" i="17"/>
  <c r="S11" i="17"/>
  <c r="T11" i="17"/>
  <c r="U11" i="17"/>
  <c r="V11" i="17"/>
  <c r="W11" i="17"/>
  <c r="Q12" i="17"/>
  <c r="R12" i="17"/>
  <c r="S12" i="17"/>
  <c r="T12" i="17"/>
  <c r="U12" i="17"/>
  <c r="V12" i="17"/>
  <c r="W12" i="17"/>
  <c r="Q13" i="17"/>
  <c r="R13" i="17"/>
  <c r="S13" i="17"/>
  <c r="T13" i="17"/>
  <c r="U13" i="17"/>
  <c r="V13" i="17"/>
  <c r="W13" i="17"/>
  <c r="Q14" i="17"/>
  <c r="R14" i="17"/>
  <c r="S14" i="17"/>
  <c r="T14" i="17"/>
  <c r="U14" i="17"/>
  <c r="V14" i="17"/>
  <c r="W14" i="17"/>
  <c r="Q15" i="17"/>
  <c r="R15" i="17"/>
  <c r="S15" i="17"/>
  <c r="T15" i="17"/>
  <c r="U15" i="17"/>
  <c r="V15" i="17"/>
  <c r="W15" i="17"/>
  <c r="Q16" i="17"/>
  <c r="R16" i="17"/>
  <c r="S16" i="17"/>
  <c r="T16" i="17"/>
  <c r="U16" i="17"/>
  <c r="V16" i="17"/>
  <c r="W16" i="17"/>
  <c r="Q17" i="17"/>
  <c r="R17" i="17"/>
  <c r="S17" i="17"/>
  <c r="T17" i="17"/>
  <c r="U17" i="17"/>
  <c r="V17" i="17"/>
  <c r="W17" i="17"/>
  <c r="Q18" i="17"/>
  <c r="R18" i="17"/>
  <c r="S18" i="17"/>
  <c r="T18" i="17"/>
  <c r="U18" i="17"/>
  <c r="V18" i="17"/>
  <c r="W18" i="17"/>
  <c r="Q19" i="17"/>
  <c r="R19" i="17"/>
  <c r="S19" i="17"/>
  <c r="T19" i="17"/>
  <c r="U19" i="17"/>
  <c r="V19" i="17"/>
  <c r="W19" i="17"/>
  <c r="Q20" i="17"/>
  <c r="R20" i="17"/>
  <c r="S20" i="17"/>
  <c r="T20" i="17"/>
  <c r="U20" i="17"/>
  <c r="V20" i="17"/>
  <c r="W20" i="17"/>
  <c r="R6" i="17"/>
  <c r="S6" i="17"/>
  <c r="T6" i="17"/>
  <c r="U6" i="17"/>
  <c r="V6" i="17"/>
  <c r="W6" i="17"/>
  <c r="Y19" i="17" l="1"/>
  <c r="Y17" i="17"/>
  <c r="Y14" i="17"/>
  <c r="X6" i="17"/>
  <c r="Z10" i="17"/>
  <c r="Z11" i="17"/>
  <c r="Z12" i="17"/>
  <c r="Y7" i="17"/>
  <c r="Z9" i="17"/>
  <c r="Z19" i="17"/>
  <c r="Z6" i="17"/>
  <c r="Z17" i="17"/>
  <c r="Y15" i="17"/>
  <c r="Z15" i="17"/>
  <c r="Y13" i="17"/>
  <c r="Z13" i="17"/>
  <c r="X13" i="17"/>
  <c r="X11" i="17"/>
  <c r="X9" i="17"/>
  <c r="Z8" i="17"/>
  <c r="X7" i="17"/>
  <c r="Y6" i="17"/>
  <c r="X19" i="17"/>
  <c r="Z18" i="17"/>
  <c r="X17" i="17"/>
  <c r="Z16" i="17"/>
  <c r="X15" i="17"/>
  <c r="Z20" i="17"/>
  <c r="Y10" i="17"/>
  <c r="Y8" i="17"/>
  <c r="Y11" i="17"/>
  <c r="Y9" i="17"/>
  <c r="Z7" i="17"/>
  <c r="Z14" i="17"/>
  <c r="Y20" i="17"/>
  <c r="Y18" i="17"/>
  <c r="Y16" i="17"/>
  <c r="Y12" i="17"/>
  <c r="X20" i="17"/>
  <c r="X18" i="17"/>
  <c r="X16" i="17"/>
  <c r="X14" i="17"/>
  <c r="X12" i="17"/>
  <c r="X10" i="17"/>
  <c r="X8" i="17"/>
  <c r="G16" i="5"/>
  <c r="F17" i="5"/>
  <c r="H15" i="5"/>
  <c r="K12" i="5"/>
  <c r="J13" i="5" s="1"/>
  <c r="AE8" i="15" l="1"/>
  <c r="AF7" i="15"/>
  <c r="AB7" i="15"/>
  <c r="AC6" i="15"/>
  <c r="AD5" i="15"/>
  <c r="AE4" i="15"/>
  <c r="AD8" i="15"/>
  <c r="AE7" i="15"/>
  <c r="AF6" i="15"/>
  <c r="AB6" i="15"/>
  <c r="AC5" i="15"/>
  <c r="AD4" i="15"/>
  <c r="AC8" i="15"/>
  <c r="AD7" i="15"/>
  <c r="AE6" i="15"/>
  <c r="AF5" i="15"/>
  <c r="AB5" i="15"/>
  <c r="AC4" i="15"/>
  <c r="AF8" i="15"/>
  <c r="AB8" i="15"/>
  <c r="AC7" i="15"/>
  <c r="AD6" i="15"/>
  <c r="AE5" i="15"/>
  <c r="AF4" i="15"/>
  <c r="AB4" i="15"/>
  <c r="E18" i="5"/>
  <c r="AH4" i="15" l="1"/>
  <c r="D19" i="5"/>
  <c r="C4" i="13"/>
  <c r="B5" i="13"/>
  <c r="F5" i="13" s="1"/>
  <c r="E3" i="13"/>
  <c r="E4" i="13" s="1"/>
  <c r="F3" i="13"/>
  <c r="F4" i="13" s="1"/>
  <c r="D3" i="13"/>
  <c r="D4" i="13" s="1"/>
  <c r="E20" i="4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F19" i="4"/>
  <c r="G19" i="4" s="1"/>
  <c r="H19" i="4" s="1"/>
  <c r="I19" i="4" s="1"/>
  <c r="J19" i="4" s="1"/>
  <c r="K19" i="4" s="1"/>
  <c r="L19" i="4" s="1"/>
  <c r="M19" i="4" s="1"/>
  <c r="N19" i="4" s="1"/>
  <c r="E5" i="13" l="1"/>
  <c r="H5" i="13"/>
  <c r="D5" i="13"/>
  <c r="K5" i="13"/>
  <c r="C5" i="13"/>
  <c r="G3" i="13"/>
  <c r="H3" i="13" s="1"/>
  <c r="I3" i="13" s="1"/>
  <c r="J3" i="13" s="1"/>
  <c r="K3" i="13" s="1"/>
  <c r="L3" i="13" s="1"/>
  <c r="M3" i="13" s="1"/>
  <c r="K4" i="13"/>
  <c r="J4" i="13"/>
  <c r="B6" i="13"/>
  <c r="G4" i="13"/>
  <c r="M4" i="13"/>
  <c r="L4" i="13"/>
  <c r="H4" i="13"/>
  <c r="C25" i="10"/>
  <c r="G25" i="10" s="1"/>
  <c r="E24" i="10"/>
  <c r="F24" i="10"/>
  <c r="G24" i="10" s="1"/>
  <c r="H24" i="10" s="1"/>
  <c r="I24" i="10" s="1"/>
  <c r="J24" i="10" s="1"/>
  <c r="K24" i="10" s="1"/>
  <c r="D24" i="10"/>
  <c r="C26" i="10" l="1"/>
  <c r="D25" i="10"/>
  <c r="J25" i="10"/>
  <c r="F25" i="10"/>
  <c r="I25" i="10"/>
  <c r="E25" i="10"/>
  <c r="N3" i="13"/>
  <c r="M5" i="13"/>
  <c r="L5" i="13"/>
  <c r="H25" i="10"/>
  <c r="K25" i="10"/>
  <c r="I4" i="13"/>
  <c r="E6" i="13"/>
  <c r="I6" i="13"/>
  <c r="M6" i="13"/>
  <c r="F6" i="13"/>
  <c r="J6" i="13"/>
  <c r="N6" i="13"/>
  <c r="C6" i="13"/>
  <c r="G6" i="13"/>
  <c r="K6" i="13"/>
  <c r="D6" i="13"/>
  <c r="H6" i="13"/>
  <c r="L6" i="13"/>
  <c r="J5" i="13"/>
  <c r="G5" i="13"/>
  <c r="I5" i="13"/>
  <c r="B7" i="13"/>
  <c r="O3" i="13" l="1"/>
  <c r="N4" i="13"/>
  <c r="N5" i="13"/>
  <c r="D7" i="13"/>
  <c r="H7" i="13"/>
  <c r="L7" i="13"/>
  <c r="E7" i="13"/>
  <c r="I7" i="13"/>
  <c r="M7" i="13"/>
  <c r="F7" i="13"/>
  <c r="J7" i="13"/>
  <c r="N7" i="13"/>
  <c r="C7" i="13"/>
  <c r="G7" i="13"/>
  <c r="K7" i="13"/>
  <c r="O7" i="13"/>
  <c r="D26" i="10"/>
  <c r="E26" i="10" s="1"/>
  <c r="F26" i="10" s="1"/>
  <c r="G26" i="10" s="1"/>
  <c r="H26" i="10" s="1"/>
  <c r="I26" i="10" s="1"/>
  <c r="J26" i="10" s="1"/>
  <c r="K26" i="10" s="1"/>
  <c r="C27" i="10"/>
  <c r="B8" i="13"/>
  <c r="H34" i="6"/>
  <c r="D32" i="6"/>
  <c r="D33" i="6" s="1"/>
  <c r="D34" i="6" s="1"/>
  <c r="D35" i="6" s="1"/>
  <c r="D36" i="6" s="1"/>
  <c r="D37" i="6" s="1"/>
  <c r="D38" i="6" s="1"/>
  <c r="D39" i="6" s="1"/>
  <c r="D40" i="6" s="1"/>
  <c r="D41" i="6" s="1"/>
  <c r="D31" i="6"/>
  <c r="G31" i="6" s="1"/>
  <c r="F30" i="6"/>
  <c r="G30" i="6" s="1"/>
  <c r="G41" i="6" s="1"/>
  <c r="E30" i="6"/>
  <c r="E31" i="6" s="1"/>
  <c r="F6" i="6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G40" i="6" l="1"/>
  <c r="G39" i="6"/>
  <c r="G38" i="6"/>
  <c r="G37" i="6"/>
  <c r="G36" i="6"/>
  <c r="G35" i="6"/>
  <c r="F34" i="6"/>
  <c r="F33" i="6"/>
  <c r="F32" i="6"/>
  <c r="F41" i="6"/>
  <c r="F40" i="6"/>
  <c r="F39" i="6"/>
  <c r="F38" i="6"/>
  <c r="F37" i="6"/>
  <c r="F36" i="6"/>
  <c r="F35" i="6"/>
  <c r="E34" i="6"/>
  <c r="E33" i="6"/>
  <c r="E32" i="6"/>
  <c r="C8" i="13"/>
  <c r="G8" i="13"/>
  <c r="K8" i="13"/>
  <c r="O8" i="13"/>
  <c r="D8" i="13"/>
  <c r="H8" i="13"/>
  <c r="L8" i="13"/>
  <c r="E8" i="13"/>
  <c r="I8" i="13"/>
  <c r="M8" i="13"/>
  <c r="F8" i="13"/>
  <c r="J8" i="13"/>
  <c r="N8" i="13"/>
  <c r="F31" i="6"/>
  <c r="E41" i="6"/>
  <c r="E40" i="6"/>
  <c r="E39" i="6"/>
  <c r="E38" i="6"/>
  <c r="E37" i="6"/>
  <c r="E36" i="6"/>
  <c r="E35" i="6"/>
  <c r="D42" i="6"/>
  <c r="D27" i="10"/>
  <c r="E27" i="10" s="1"/>
  <c r="F27" i="10" s="1"/>
  <c r="G27" i="10" s="1"/>
  <c r="H27" i="10" s="1"/>
  <c r="I27" i="10" s="1"/>
  <c r="J27" i="10" s="1"/>
  <c r="K27" i="10" s="1"/>
  <c r="C28" i="10"/>
  <c r="G34" i="6"/>
  <c r="G33" i="6"/>
  <c r="G32" i="6"/>
  <c r="O4" i="13"/>
  <c r="O5" i="13"/>
  <c r="O6" i="13"/>
  <c r="B9" i="13"/>
  <c r="H30" i="6"/>
  <c r="H31" i="6" s="1"/>
  <c r="D5" i="10"/>
  <c r="E5" i="10" s="1"/>
  <c r="C7" i="10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6" i="10"/>
  <c r="F5" i="6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F7" i="6"/>
  <c r="F5" i="10" l="1"/>
  <c r="G5" i="10" s="1"/>
  <c r="H38" i="6"/>
  <c r="H42" i="6"/>
  <c r="E42" i="6"/>
  <c r="I42" i="6"/>
  <c r="F42" i="6"/>
  <c r="G42" i="6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H37" i="6"/>
  <c r="H32" i="6"/>
  <c r="H33" i="6"/>
  <c r="F9" i="13"/>
  <c r="J9" i="13"/>
  <c r="N9" i="13"/>
  <c r="C9" i="13"/>
  <c r="G9" i="13"/>
  <c r="K9" i="13"/>
  <c r="O9" i="13"/>
  <c r="D9" i="13"/>
  <c r="H9" i="13"/>
  <c r="L9" i="13"/>
  <c r="E9" i="13"/>
  <c r="I9" i="13"/>
  <c r="M9" i="13"/>
  <c r="H36" i="6"/>
  <c r="H40" i="6"/>
  <c r="C29" i="10"/>
  <c r="D28" i="10"/>
  <c r="E28" i="10" s="1"/>
  <c r="F28" i="10" s="1"/>
  <c r="G28" i="10" s="1"/>
  <c r="H28" i="10" s="1"/>
  <c r="I28" i="10" s="1"/>
  <c r="J28" i="10" s="1"/>
  <c r="K28" i="10" s="1"/>
  <c r="H35" i="6"/>
  <c r="H39" i="6"/>
  <c r="H41" i="6"/>
  <c r="B10" i="13"/>
  <c r="I30" i="6"/>
  <c r="G7" i="6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U7" i="6" s="1"/>
  <c r="V7" i="6" s="1"/>
  <c r="W7" i="6" s="1"/>
  <c r="X7" i="6" s="1"/>
  <c r="Y7" i="6" s="1"/>
  <c r="S5" i="4"/>
  <c r="S6" i="4" s="1"/>
  <c r="S7" i="4" s="1"/>
  <c r="S8" i="4" s="1"/>
  <c r="S9" i="4" s="1"/>
  <c r="S10" i="4" s="1"/>
  <c r="S11" i="4" s="1"/>
  <c r="S12" i="4" s="1"/>
  <c r="S13" i="4" s="1"/>
  <c r="S14" i="4" s="1"/>
  <c r="S15" i="4" s="1"/>
  <c r="T4" i="4"/>
  <c r="U4" i="4" s="1"/>
  <c r="T3" i="5"/>
  <c r="U3" i="5"/>
  <c r="V3" i="5"/>
  <c r="E5" i="4"/>
  <c r="E6" i="4"/>
  <c r="F4" i="4"/>
  <c r="G4" i="4" s="1"/>
  <c r="U4" i="5" l="1"/>
  <c r="E7" i="4"/>
  <c r="G6" i="4"/>
  <c r="F6" i="4"/>
  <c r="F5" i="4"/>
  <c r="G5" i="4"/>
  <c r="U14" i="4"/>
  <c r="T13" i="4"/>
  <c r="U10" i="4"/>
  <c r="T9" i="4"/>
  <c r="U6" i="4"/>
  <c r="E10" i="13"/>
  <c r="I10" i="13"/>
  <c r="M10" i="13"/>
  <c r="F10" i="13"/>
  <c r="J10" i="13"/>
  <c r="N10" i="13"/>
  <c r="C10" i="13"/>
  <c r="G10" i="13"/>
  <c r="K10" i="13"/>
  <c r="O10" i="13"/>
  <c r="D10" i="13"/>
  <c r="H10" i="13"/>
  <c r="L10" i="13"/>
  <c r="T5" i="4"/>
  <c r="U15" i="4"/>
  <c r="T14" i="4"/>
  <c r="U11" i="4"/>
  <c r="T10" i="4"/>
  <c r="U7" i="4"/>
  <c r="T6" i="4"/>
  <c r="C30" i="10"/>
  <c r="D29" i="10"/>
  <c r="E29" i="10" s="1"/>
  <c r="F29" i="10" s="1"/>
  <c r="G29" i="10" s="1"/>
  <c r="H29" i="10" s="1"/>
  <c r="I29" i="10" s="1"/>
  <c r="J29" i="10" s="1"/>
  <c r="K29" i="10" s="1"/>
  <c r="T15" i="4"/>
  <c r="U12" i="4"/>
  <c r="T11" i="4"/>
  <c r="U8" i="4"/>
  <c r="T7" i="4"/>
  <c r="I31" i="6"/>
  <c r="I38" i="6"/>
  <c r="I34" i="6"/>
  <c r="I39" i="6"/>
  <c r="I35" i="6"/>
  <c r="I41" i="6"/>
  <c r="I32" i="6"/>
  <c r="I40" i="6"/>
  <c r="I36" i="6"/>
  <c r="I33" i="6"/>
  <c r="I37" i="6"/>
  <c r="H5" i="10"/>
  <c r="U5" i="4"/>
  <c r="U13" i="4"/>
  <c r="T12" i="4"/>
  <c r="U9" i="4"/>
  <c r="T8" i="4"/>
  <c r="E6" i="10"/>
  <c r="B11" i="13"/>
  <c r="J30" i="6"/>
  <c r="V4" i="4"/>
  <c r="V15" i="4" s="1"/>
  <c r="W4" i="5"/>
  <c r="V5" i="5" s="1"/>
  <c r="S4" i="5"/>
  <c r="T4" i="5"/>
  <c r="V4" i="5"/>
  <c r="H4" i="4"/>
  <c r="H6" i="4" s="1"/>
  <c r="T5" i="5" l="1"/>
  <c r="V13" i="4"/>
  <c r="V5" i="4"/>
  <c r="H5" i="4"/>
  <c r="V14" i="4"/>
  <c r="J31" i="6"/>
  <c r="J33" i="6"/>
  <c r="J38" i="6"/>
  <c r="J34" i="6"/>
  <c r="J39" i="6"/>
  <c r="J35" i="6"/>
  <c r="J41" i="6"/>
  <c r="J37" i="6"/>
  <c r="J32" i="6"/>
  <c r="J40" i="6"/>
  <c r="J36" i="6"/>
  <c r="J42" i="6"/>
  <c r="V6" i="4"/>
  <c r="V8" i="4"/>
  <c r="V11" i="4"/>
  <c r="I5" i="10"/>
  <c r="D30" i="10"/>
  <c r="E30" i="10" s="1"/>
  <c r="F30" i="10" s="1"/>
  <c r="G30" i="10" s="1"/>
  <c r="H30" i="10" s="1"/>
  <c r="I30" i="10" s="1"/>
  <c r="J30" i="10" s="1"/>
  <c r="K30" i="10" s="1"/>
  <c r="C31" i="10"/>
  <c r="V7" i="4"/>
  <c r="D11" i="13"/>
  <c r="H11" i="13"/>
  <c r="L11" i="13"/>
  <c r="O11" i="13"/>
  <c r="E11" i="13"/>
  <c r="I11" i="13"/>
  <c r="M11" i="13"/>
  <c r="F11" i="13"/>
  <c r="J11" i="13"/>
  <c r="N11" i="13"/>
  <c r="C11" i="13"/>
  <c r="G11" i="13"/>
  <c r="K11" i="13"/>
  <c r="V9" i="4"/>
  <c r="E8" i="4"/>
  <c r="H7" i="4"/>
  <c r="F7" i="4"/>
  <c r="G7" i="4"/>
  <c r="F6" i="10"/>
  <c r="E7" i="10"/>
  <c r="E8" i="10" s="1"/>
  <c r="E9" i="10" s="1"/>
  <c r="E10" i="10" s="1"/>
  <c r="V10" i="4"/>
  <c r="V12" i="4"/>
  <c r="B12" i="13"/>
  <c r="K30" i="6"/>
  <c r="I4" i="4"/>
  <c r="W4" i="4"/>
  <c r="S5" i="5"/>
  <c r="X5" i="5"/>
  <c r="W5" i="5"/>
  <c r="X6" i="5" s="1"/>
  <c r="R5" i="5"/>
  <c r="U5" i="5"/>
  <c r="R6" i="5" l="1"/>
  <c r="I6" i="4"/>
  <c r="I5" i="4"/>
  <c r="Q7" i="5"/>
  <c r="W15" i="4"/>
  <c r="W12" i="4"/>
  <c r="W9" i="4"/>
  <c r="W7" i="4"/>
  <c r="W6" i="4"/>
  <c r="W10" i="4"/>
  <c r="W8" i="4"/>
  <c r="W14" i="4"/>
  <c r="W5" i="4"/>
  <c r="W13" i="4"/>
  <c r="W11" i="4"/>
  <c r="J5" i="10"/>
  <c r="F7" i="10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G6" i="10"/>
  <c r="E9" i="4"/>
  <c r="I8" i="4"/>
  <c r="F8" i="4"/>
  <c r="J8" i="4"/>
  <c r="G8" i="4"/>
  <c r="H8" i="4"/>
  <c r="D31" i="10"/>
  <c r="E31" i="10" s="1"/>
  <c r="F31" i="10" s="1"/>
  <c r="G31" i="10" s="1"/>
  <c r="H31" i="10" s="1"/>
  <c r="I31" i="10" s="1"/>
  <c r="J31" i="10" s="1"/>
  <c r="K31" i="10" s="1"/>
  <c r="C32" i="10"/>
  <c r="C12" i="13"/>
  <c r="G12" i="13"/>
  <c r="K12" i="13"/>
  <c r="O12" i="13"/>
  <c r="D12" i="13"/>
  <c r="H12" i="13"/>
  <c r="L12" i="13"/>
  <c r="E12" i="13"/>
  <c r="I12" i="13"/>
  <c r="M12" i="13"/>
  <c r="F12" i="13"/>
  <c r="J12" i="13"/>
  <c r="N12" i="13"/>
  <c r="I7" i="4"/>
  <c r="K34" i="6"/>
  <c r="K35" i="6"/>
  <c r="K36" i="6"/>
  <c r="K37" i="6"/>
  <c r="K38" i="6"/>
  <c r="K39" i="6"/>
  <c r="K40" i="6"/>
  <c r="K41" i="6"/>
  <c r="K32" i="6"/>
  <c r="K31" i="6"/>
  <c r="K33" i="6"/>
  <c r="K42" i="6"/>
  <c r="B13" i="13"/>
  <c r="L30" i="6"/>
  <c r="J4" i="4"/>
  <c r="X4" i="4"/>
  <c r="Y6" i="5"/>
  <c r="Z7" i="5" s="1"/>
  <c r="AA8" i="5" s="1"/>
  <c r="S6" i="5"/>
  <c r="Q6" i="5"/>
  <c r="W6" i="5"/>
  <c r="V6" i="5"/>
  <c r="W7" i="5" s="1"/>
  <c r="T6" i="5"/>
  <c r="U6" i="5"/>
  <c r="X7" i="5" l="1"/>
  <c r="Y8" i="5" s="1"/>
  <c r="Z9" i="5" s="1"/>
  <c r="E10" i="4"/>
  <c r="F9" i="4"/>
  <c r="J9" i="4"/>
  <c r="G9" i="4"/>
  <c r="H9" i="4"/>
  <c r="I9" i="4"/>
  <c r="P8" i="5"/>
  <c r="O9" i="5" s="1"/>
  <c r="R7" i="5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H6" i="10"/>
  <c r="X9" i="4"/>
  <c r="X6" i="4"/>
  <c r="X15" i="4"/>
  <c r="X8" i="4"/>
  <c r="X14" i="4"/>
  <c r="X7" i="4"/>
  <c r="X11" i="4"/>
  <c r="X5" i="4"/>
  <c r="X13" i="4"/>
  <c r="X10" i="4"/>
  <c r="X12" i="4"/>
  <c r="L31" i="6"/>
  <c r="L40" i="6"/>
  <c r="L36" i="6"/>
  <c r="L32" i="6"/>
  <c r="L37" i="6"/>
  <c r="L39" i="6"/>
  <c r="L33" i="6"/>
  <c r="L41" i="6"/>
  <c r="L38" i="6"/>
  <c r="L34" i="6"/>
  <c r="L35" i="6"/>
  <c r="L42" i="6"/>
  <c r="V7" i="5"/>
  <c r="J5" i="4"/>
  <c r="J6" i="4"/>
  <c r="J7" i="4"/>
  <c r="F13" i="13"/>
  <c r="J13" i="13"/>
  <c r="N13" i="13"/>
  <c r="C13" i="13"/>
  <c r="G13" i="13"/>
  <c r="K13" i="13"/>
  <c r="O13" i="13"/>
  <c r="D13" i="13"/>
  <c r="H13" i="13"/>
  <c r="L13" i="13"/>
  <c r="M13" i="13"/>
  <c r="E13" i="13"/>
  <c r="I13" i="13"/>
  <c r="D32" i="10"/>
  <c r="E32" i="10" s="1"/>
  <c r="F32" i="10" s="1"/>
  <c r="G32" i="10" s="1"/>
  <c r="H32" i="10" s="1"/>
  <c r="I32" i="10" s="1"/>
  <c r="J32" i="10" s="1"/>
  <c r="K32" i="10" s="1"/>
  <c r="C33" i="10"/>
  <c r="B14" i="13"/>
  <c r="M30" i="6"/>
  <c r="X6" i="6"/>
  <c r="Y6" i="6" s="1"/>
  <c r="K4" i="4"/>
  <c r="Y4" i="4"/>
  <c r="Y7" i="5"/>
  <c r="X8" i="5" s="1"/>
  <c r="P7" i="5"/>
  <c r="AB9" i="5"/>
  <c r="U7" i="5"/>
  <c r="V8" i="5" s="1"/>
  <c r="S7" i="5"/>
  <c r="T7" i="5"/>
  <c r="W8" i="5" l="1"/>
  <c r="X9" i="5" s="1"/>
  <c r="Y10" i="5" s="1"/>
  <c r="Q8" i="5"/>
  <c r="N30" i="6"/>
  <c r="M31" i="6"/>
  <c r="M39" i="6"/>
  <c r="M35" i="6"/>
  <c r="M32" i="6"/>
  <c r="M40" i="6"/>
  <c r="M36" i="6"/>
  <c r="M38" i="6"/>
  <c r="M33" i="6"/>
  <c r="M41" i="6"/>
  <c r="M37" i="6"/>
  <c r="M34" i="6"/>
  <c r="M42" i="6"/>
  <c r="H7" i="10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I6" i="10"/>
  <c r="E14" i="13"/>
  <c r="I14" i="13"/>
  <c r="M14" i="13"/>
  <c r="D14" i="13"/>
  <c r="F14" i="13"/>
  <c r="J14" i="13"/>
  <c r="N14" i="13"/>
  <c r="C14" i="13"/>
  <c r="G14" i="13"/>
  <c r="K14" i="13"/>
  <c r="O14" i="13"/>
  <c r="H14" i="13"/>
  <c r="L14" i="13"/>
  <c r="K6" i="4"/>
  <c r="K5" i="4"/>
  <c r="K7" i="4"/>
  <c r="K8" i="4"/>
  <c r="D33" i="10"/>
  <c r="E33" i="10" s="1"/>
  <c r="F33" i="10" s="1"/>
  <c r="G33" i="10" s="1"/>
  <c r="H33" i="10" s="1"/>
  <c r="I33" i="10" s="1"/>
  <c r="J33" i="10" s="1"/>
  <c r="K33" i="10" s="1"/>
  <c r="C34" i="10"/>
  <c r="K9" i="4"/>
  <c r="Y6" i="4"/>
  <c r="Y12" i="4"/>
  <c r="Y5" i="4"/>
  <c r="Y14" i="4"/>
  <c r="Y11" i="4"/>
  <c r="Y15" i="4"/>
  <c r="Y8" i="4"/>
  <c r="Y13" i="4"/>
  <c r="Y10" i="4"/>
  <c r="Y7" i="4"/>
  <c r="Y9" i="4"/>
  <c r="E11" i="4"/>
  <c r="G10" i="4"/>
  <c r="K10" i="4"/>
  <c r="H10" i="4"/>
  <c r="L10" i="4"/>
  <c r="I10" i="4"/>
  <c r="F10" i="4"/>
  <c r="J10" i="4"/>
  <c r="B15" i="13"/>
  <c r="L4" i="4"/>
  <c r="Z4" i="4"/>
  <c r="W9" i="5"/>
  <c r="O8" i="5"/>
  <c r="N10" i="5"/>
  <c r="M11" i="5" s="1"/>
  <c r="L12" i="5" s="1"/>
  <c r="Z8" i="5"/>
  <c r="T8" i="5"/>
  <c r="U9" i="5" s="1"/>
  <c r="R8" i="5"/>
  <c r="AA10" i="5"/>
  <c r="U8" i="5"/>
  <c r="S8" i="5"/>
  <c r="V9" i="5" l="1"/>
  <c r="K13" i="5"/>
  <c r="P9" i="5"/>
  <c r="W10" i="5"/>
  <c r="X11" i="5" s="1"/>
  <c r="V10" i="5"/>
  <c r="B16" i="13"/>
  <c r="D15" i="13"/>
  <c r="H15" i="13"/>
  <c r="L15" i="13"/>
  <c r="C15" i="13"/>
  <c r="O15" i="13"/>
  <c r="E15" i="13"/>
  <c r="I15" i="13"/>
  <c r="M15" i="13"/>
  <c r="F15" i="13"/>
  <c r="J15" i="13"/>
  <c r="N15" i="13"/>
  <c r="G15" i="13"/>
  <c r="K15" i="13"/>
  <c r="E12" i="4"/>
  <c r="H11" i="4"/>
  <c r="L11" i="4"/>
  <c r="I11" i="4"/>
  <c r="F11" i="4"/>
  <c r="J11" i="4"/>
  <c r="G11" i="4"/>
  <c r="K11" i="4"/>
  <c r="J6" i="10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Z9" i="4"/>
  <c r="Z14" i="4"/>
  <c r="Z11" i="4"/>
  <c r="Z8" i="4"/>
  <c r="Z15" i="4"/>
  <c r="Z12" i="4"/>
  <c r="Z10" i="4"/>
  <c r="Z7" i="4"/>
  <c r="Z5" i="4"/>
  <c r="Z13" i="4"/>
  <c r="Z6" i="4"/>
  <c r="D34" i="10"/>
  <c r="E34" i="10" s="1"/>
  <c r="F34" i="10" s="1"/>
  <c r="G34" i="10" s="1"/>
  <c r="H34" i="10" s="1"/>
  <c r="I34" i="10" s="1"/>
  <c r="J34" i="10" s="1"/>
  <c r="K34" i="10" s="1"/>
  <c r="C35" i="10"/>
  <c r="L5" i="4"/>
  <c r="L6" i="4"/>
  <c r="L7" i="4"/>
  <c r="L8" i="4"/>
  <c r="L9" i="4"/>
  <c r="O30" i="6"/>
  <c r="N31" i="6"/>
  <c r="N33" i="6"/>
  <c r="N39" i="6"/>
  <c r="N35" i="6"/>
  <c r="N32" i="6"/>
  <c r="N40" i="6"/>
  <c r="N36" i="6"/>
  <c r="N38" i="6"/>
  <c r="N34" i="6"/>
  <c r="N41" i="6"/>
  <c r="N37" i="6"/>
  <c r="N42" i="6"/>
  <c r="M4" i="4"/>
  <c r="M11" i="4" s="1"/>
  <c r="AA4" i="4"/>
  <c r="AC10" i="5"/>
  <c r="AD11" i="5" s="1"/>
  <c r="AE12" i="5" s="1"/>
  <c r="AF13" i="5" s="1"/>
  <c r="AG14" i="5" s="1"/>
  <c r="AH15" i="5" s="1"/>
  <c r="AI16" i="5" s="1"/>
  <c r="AJ17" i="5" s="1"/>
  <c r="AK18" i="5" s="1"/>
  <c r="AL19" i="5" s="1"/>
  <c r="AM20" i="5" s="1"/>
  <c r="AN21" i="5" s="1"/>
  <c r="AA9" i="5"/>
  <c r="AB10" i="5" s="1"/>
  <c r="Y9" i="5"/>
  <c r="N9" i="5"/>
  <c r="Z11" i="5"/>
  <c r="Q9" i="5"/>
  <c r="S9" i="5"/>
  <c r="T10" i="5" s="1"/>
  <c r="U11" i="5" s="1"/>
  <c r="T9" i="5"/>
  <c r="U10" i="5" s="1"/>
  <c r="R9" i="5"/>
  <c r="V11" i="5" l="1"/>
  <c r="J14" i="5"/>
  <c r="Y12" i="5"/>
  <c r="W12" i="5"/>
  <c r="P30" i="6"/>
  <c r="O39" i="6"/>
  <c r="O41" i="6"/>
  <c r="O34" i="6"/>
  <c r="O35" i="6"/>
  <c r="O36" i="6"/>
  <c r="O37" i="6"/>
  <c r="O38" i="6"/>
  <c r="O40" i="6"/>
  <c r="O31" i="6"/>
  <c r="O33" i="6"/>
  <c r="O32" i="6"/>
  <c r="O42" i="6"/>
  <c r="J7" i="10"/>
  <c r="J8" i="10" s="1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E13" i="4"/>
  <c r="I12" i="4"/>
  <c r="M12" i="4"/>
  <c r="F12" i="4"/>
  <c r="J12" i="4"/>
  <c r="G12" i="4"/>
  <c r="K12" i="4"/>
  <c r="H12" i="4"/>
  <c r="L12" i="4"/>
  <c r="M6" i="4"/>
  <c r="M5" i="4"/>
  <c r="M7" i="4"/>
  <c r="M8" i="4"/>
  <c r="M9" i="4"/>
  <c r="M10" i="4"/>
  <c r="AA5" i="4"/>
  <c r="AA13" i="4"/>
  <c r="AA6" i="4"/>
  <c r="AA11" i="4"/>
  <c r="AA10" i="4"/>
  <c r="AA14" i="4"/>
  <c r="AA12" i="4"/>
  <c r="AA9" i="4"/>
  <c r="AA7" i="4"/>
  <c r="AA8" i="4"/>
  <c r="AA15" i="4"/>
  <c r="D35" i="10"/>
  <c r="E35" i="10" s="1"/>
  <c r="F35" i="10" s="1"/>
  <c r="G35" i="10" s="1"/>
  <c r="H35" i="10" s="1"/>
  <c r="I35" i="10" s="1"/>
  <c r="J35" i="10" s="1"/>
  <c r="K35" i="10" s="1"/>
  <c r="C36" i="10"/>
  <c r="D36" i="10" s="1"/>
  <c r="E36" i="10" s="1"/>
  <c r="F36" i="10" s="1"/>
  <c r="G36" i="10" s="1"/>
  <c r="H36" i="10" s="1"/>
  <c r="I36" i="10" s="1"/>
  <c r="J36" i="10" s="1"/>
  <c r="K36" i="10" s="1"/>
  <c r="C16" i="13"/>
  <c r="G16" i="13"/>
  <c r="K16" i="13"/>
  <c r="O16" i="13"/>
  <c r="N16" i="13"/>
  <c r="D16" i="13"/>
  <c r="H16" i="13"/>
  <c r="L16" i="13"/>
  <c r="E16" i="13"/>
  <c r="I16" i="13"/>
  <c r="M16" i="13"/>
  <c r="F16" i="13"/>
  <c r="J16" i="13"/>
  <c r="N4" i="4"/>
  <c r="AB4" i="4"/>
  <c r="AB11" i="5"/>
  <c r="AC12" i="5" s="1"/>
  <c r="AD13" i="5" s="1"/>
  <c r="AE14" i="5" s="1"/>
  <c r="AF15" i="5" s="1"/>
  <c r="AG16" i="5" s="1"/>
  <c r="AH17" i="5" s="1"/>
  <c r="AI18" i="5" s="1"/>
  <c r="AJ19" i="5" s="1"/>
  <c r="AK20" i="5" s="1"/>
  <c r="AL21" i="5" s="1"/>
  <c r="Z10" i="5"/>
  <c r="AA11" i="5" s="1"/>
  <c r="X10" i="5"/>
  <c r="M10" i="5"/>
  <c r="O10" i="5"/>
  <c r="R10" i="5"/>
  <c r="S11" i="5" s="1"/>
  <c r="T12" i="5" s="1"/>
  <c r="P10" i="5"/>
  <c r="S10" i="5"/>
  <c r="T11" i="5" s="1"/>
  <c r="U12" i="5" s="1"/>
  <c r="Q10" i="5"/>
  <c r="V13" i="5" l="1"/>
  <c r="I15" i="5"/>
  <c r="H16" i="5" s="1"/>
  <c r="G17" i="5" s="1"/>
  <c r="F18" i="5" s="1"/>
  <c r="X13" i="5"/>
  <c r="W14" i="5" s="1"/>
  <c r="E14" i="4"/>
  <c r="F13" i="4"/>
  <c r="J13" i="4"/>
  <c r="N13" i="4"/>
  <c r="G13" i="4"/>
  <c r="H13" i="4"/>
  <c r="L13" i="4"/>
  <c r="I13" i="4"/>
  <c r="M13" i="4"/>
  <c r="K13" i="4"/>
  <c r="P41" i="6"/>
  <c r="P31" i="6"/>
  <c r="P32" i="6"/>
  <c r="P37" i="6"/>
  <c r="P33" i="6"/>
  <c r="P38" i="6"/>
  <c r="P34" i="6"/>
  <c r="P40" i="6"/>
  <c r="P36" i="6"/>
  <c r="P39" i="6"/>
  <c r="P35" i="6"/>
  <c r="P42" i="6"/>
  <c r="N6" i="4"/>
  <c r="N5" i="4"/>
  <c r="N7" i="4"/>
  <c r="N8" i="4"/>
  <c r="N9" i="4"/>
  <c r="N10" i="4"/>
  <c r="N11" i="4"/>
  <c r="AB5" i="4"/>
  <c r="AB13" i="4"/>
  <c r="AB10" i="4"/>
  <c r="AB8" i="4"/>
  <c r="AB14" i="4"/>
  <c r="AB12" i="4"/>
  <c r="AB9" i="4"/>
  <c r="AB6" i="4"/>
  <c r="AB15" i="4"/>
  <c r="AB7" i="4"/>
  <c r="AB11" i="4"/>
  <c r="N12" i="4"/>
  <c r="O4" i="4"/>
  <c r="AC4" i="4"/>
  <c r="AA12" i="5"/>
  <c r="N11" i="5"/>
  <c r="M12" i="5" s="1"/>
  <c r="L13" i="5" s="1"/>
  <c r="K14" i="5" s="1"/>
  <c r="J15" i="5" s="1"/>
  <c r="Y11" i="5"/>
  <c r="Z12" i="5" s="1"/>
  <c r="W11" i="5"/>
  <c r="AC11" i="5"/>
  <c r="AD12" i="5" s="1"/>
  <c r="AE13" i="5" s="1"/>
  <c r="AF14" i="5" s="1"/>
  <c r="AG15" i="5" s="1"/>
  <c r="AH16" i="5" s="1"/>
  <c r="AI17" i="5" s="1"/>
  <c r="AJ18" i="5" s="1"/>
  <c r="AK19" i="5" s="1"/>
  <c r="AL20" i="5" s="1"/>
  <c r="AM21" i="5" s="1"/>
  <c r="Q11" i="5"/>
  <c r="R12" i="5" s="1"/>
  <c r="S13" i="5" s="1"/>
  <c r="O11" i="5"/>
  <c r="R11" i="5"/>
  <c r="S12" i="5" s="1"/>
  <c r="T13" i="5" s="1"/>
  <c r="U14" i="5" s="1"/>
  <c r="P11" i="5"/>
  <c r="V15" i="5" l="1"/>
  <c r="O6" i="4"/>
  <c r="O5" i="4"/>
  <c r="O7" i="4"/>
  <c r="O8" i="4"/>
  <c r="O9" i="4"/>
  <c r="O10" i="4"/>
  <c r="O11" i="4"/>
  <c r="O12" i="4"/>
  <c r="O13" i="4"/>
  <c r="AC10" i="4"/>
  <c r="AC7" i="4"/>
  <c r="AC14" i="4"/>
  <c r="AC11" i="4"/>
  <c r="AC9" i="4"/>
  <c r="AC13" i="4"/>
  <c r="AC6" i="4"/>
  <c r="AC12" i="4"/>
  <c r="AC5" i="4"/>
  <c r="AC15" i="4"/>
  <c r="AC8" i="4"/>
  <c r="E15" i="4"/>
  <c r="G14" i="4"/>
  <c r="K14" i="4"/>
  <c r="O14" i="4"/>
  <c r="L14" i="4"/>
  <c r="I14" i="4"/>
  <c r="M14" i="4"/>
  <c r="H14" i="4"/>
  <c r="F14" i="4"/>
  <c r="J14" i="4"/>
  <c r="N14" i="4"/>
  <c r="P4" i="4"/>
  <c r="P14" i="4" s="1"/>
  <c r="AD4" i="4"/>
  <c r="AB13" i="5"/>
  <c r="AC14" i="5" s="1"/>
  <c r="AD15" i="5" s="1"/>
  <c r="AE16" i="5" s="1"/>
  <c r="AF17" i="5" s="1"/>
  <c r="AG18" i="5" s="1"/>
  <c r="AH19" i="5" s="1"/>
  <c r="AI20" i="5" s="1"/>
  <c r="AJ21" i="5" s="1"/>
  <c r="Z13" i="5"/>
  <c r="X12" i="5"/>
  <c r="Y13" i="5" s="1"/>
  <c r="V12" i="5"/>
  <c r="AB12" i="5"/>
  <c r="AC13" i="5" s="1"/>
  <c r="AD14" i="5" s="1"/>
  <c r="AE15" i="5" s="1"/>
  <c r="AF16" i="5" s="1"/>
  <c r="AG17" i="5" s="1"/>
  <c r="AH18" i="5" s="1"/>
  <c r="AI19" i="5" s="1"/>
  <c r="AJ20" i="5" s="1"/>
  <c r="AK21" i="5" s="1"/>
  <c r="P12" i="5"/>
  <c r="Q13" i="5" s="1"/>
  <c r="R14" i="5" s="1"/>
  <c r="N12" i="5"/>
  <c r="M13" i="5" s="1"/>
  <c r="L14" i="5" s="1"/>
  <c r="K15" i="5" s="1"/>
  <c r="Q12" i="5"/>
  <c r="R13" i="5" s="1"/>
  <c r="S14" i="5" s="1"/>
  <c r="T15" i="5" s="1"/>
  <c r="O12" i="5"/>
  <c r="E19" i="5" l="1"/>
  <c r="D20" i="5" s="1"/>
  <c r="J16" i="5"/>
  <c r="U16" i="5"/>
  <c r="AD7" i="4"/>
  <c r="AD5" i="4"/>
  <c r="AD13" i="4"/>
  <c r="AD11" i="4"/>
  <c r="AD8" i="4"/>
  <c r="AD10" i="4"/>
  <c r="AD9" i="4"/>
  <c r="AD14" i="4"/>
  <c r="AD6" i="4"/>
  <c r="AD15" i="4"/>
  <c r="AD12" i="4"/>
  <c r="P5" i="4"/>
  <c r="P6" i="4"/>
  <c r="P7" i="4"/>
  <c r="P8" i="4"/>
  <c r="P9" i="4"/>
  <c r="P10" i="4"/>
  <c r="P11" i="4"/>
  <c r="P12" i="4"/>
  <c r="P13" i="4"/>
  <c r="H15" i="4"/>
  <c r="L15" i="4"/>
  <c r="P15" i="4"/>
  <c r="I15" i="4"/>
  <c r="F15" i="4"/>
  <c r="J15" i="4"/>
  <c r="N15" i="4"/>
  <c r="G15" i="4"/>
  <c r="K15" i="4"/>
  <c r="O15" i="4"/>
  <c r="M15" i="4"/>
  <c r="AA14" i="5"/>
  <c r="AB15" i="5" s="1"/>
  <c r="AC16" i="5" s="1"/>
  <c r="AD17" i="5" s="1"/>
  <c r="AE18" i="5" s="1"/>
  <c r="AF19" i="5" s="1"/>
  <c r="AG20" i="5" s="1"/>
  <c r="AH21" i="5" s="1"/>
  <c r="Y14" i="5"/>
  <c r="U13" i="5"/>
  <c r="W13" i="5"/>
  <c r="X14" i="5" s="1"/>
  <c r="AA13" i="5"/>
  <c r="AB14" i="5" s="1"/>
  <c r="AC15" i="5" s="1"/>
  <c r="AD16" i="5" s="1"/>
  <c r="AE17" i="5" s="1"/>
  <c r="AF18" i="5" s="1"/>
  <c r="AG19" i="5" s="1"/>
  <c r="AH20" i="5" s="1"/>
  <c r="AI21" i="5" s="1"/>
  <c r="O13" i="5"/>
  <c r="P14" i="5" s="1"/>
  <c r="Q15" i="5" s="1"/>
  <c r="P13" i="5"/>
  <c r="Q14" i="5" s="1"/>
  <c r="R15" i="5" s="1"/>
  <c r="S16" i="5" s="1"/>
  <c r="N13" i="5"/>
  <c r="M14" i="5" s="1"/>
  <c r="L15" i="5" s="1"/>
  <c r="C21" i="5" l="1"/>
  <c r="I17" i="5"/>
  <c r="K16" i="5"/>
  <c r="I16" i="5"/>
  <c r="T17" i="5"/>
  <c r="Z15" i="5"/>
  <c r="AA16" i="5" s="1"/>
  <c r="AB17" i="5" s="1"/>
  <c r="AC18" i="5" s="1"/>
  <c r="AD19" i="5" s="1"/>
  <c r="AE20" i="5" s="1"/>
  <c r="AF21" i="5" s="1"/>
  <c r="X15" i="5"/>
  <c r="Z14" i="5"/>
  <c r="AA15" i="5" s="1"/>
  <c r="AB16" i="5" s="1"/>
  <c r="AC17" i="5" s="1"/>
  <c r="AD18" i="5" s="1"/>
  <c r="AE19" i="5" s="1"/>
  <c r="AF20" i="5" s="1"/>
  <c r="AG21" i="5" s="1"/>
  <c r="T14" i="5"/>
  <c r="V14" i="5"/>
  <c r="W15" i="5" s="1"/>
  <c r="N14" i="5"/>
  <c r="O14" i="5"/>
  <c r="P15" i="5" s="1"/>
  <c r="Q16" i="5" s="1"/>
  <c r="R17" i="5" s="1"/>
  <c r="J17" i="5" l="1"/>
  <c r="M15" i="5"/>
  <c r="L16" i="5" s="1"/>
  <c r="K17" i="5" s="1"/>
  <c r="J18" i="5" s="1"/>
  <c r="H18" i="5"/>
  <c r="H17" i="5"/>
  <c r="I18" i="5" s="1"/>
  <c r="S18" i="5"/>
  <c r="Y16" i="5"/>
  <c r="Z17" i="5" s="1"/>
  <c r="AA18" i="5" s="1"/>
  <c r="AB19" i="5" s="1"/>
  <c r="AC20" i="5" s="1"/>
  <c r="AD21" i="5" s="1"/>
  <c r="W16" i="5"/>
  <c r="N15" i="5"/>
  <c r="O16" i="5" s="1"/>
  <c r="P17" i="5" s="1"/>
  <c r="Q18" i="5" s="1"/>
  <c r="Y15" i="5"/>
  <c r="Z16" i="5" s="1"/>
  <c r="AA17" i="5" s="1"/>
  <c r="AB18" i="5" s="1"/>
  <c r="AC19" i="5" s="1"/>
  <c r="AD20" i="5" s="1"/>
  <c r="AE21" i="5" s="1"/>
  <c r="U15" i="5"/>
  <c r="V16" i="5" s="1"/>
  <c r="S15" i="5"/>
  <c r="O15" i="5"/>
  <c r="P16" i="5" s="1"/>
  <c r="R19" i="5" l="1"/>
  <c r="G18" i="5"/>
  <c r="H19" i="5" s="1"/>
  <c r="I19" i="5"/>
  <c r="G19" i="5"/>
  <c r="M16" i="5"/>
  <c r="L17" i="5" s="1"/>
  <c r="K18" i="5" s="1"/>
  <c r="J19" i="5" s="1"/>
  <c r="X17" i="5"/>
  <c r="Y18" i="5" s="1"/>
  <c r="Z19" i="5" s="1"/>
  <c r="AA20" i="5" s="1"/>
  <c r="AB21" i="5" s="1"/>
  <c r="V17" i="5"/>
  <c r="X16" i="5"/>
  <c r="Y17" i="5" s="1"/>
  <c r="Z18" i="5" s="1"/>
  <c r="AA19" i="5" s="1"/>
  <c r="AB20" i="5" s="1"/>
  <c r="AC21" i="5" s="1"/>
  <c r="R16" i="5"/>
  <c r="T16" i="5"/>
  <c r="U17" i="5" s="1"/>
  <c r="N16" i="5"/>
  <c r="F19" i="5" l="1"/>
  <c r="I20" i="5"/>
  <c r="F20" i="5"/>
  <c r="E21" i="5" s="1"/>
  <c r="H20" i="5"/>
  <c r="N17" i="5"/>
  <c r="O18" i="5" s="1"/>
  <c r="P19" i="5" s="1"/>
  <c r="Q20" i="5" s="1"/>
  <c r="W18" i="5"/>
  <c r="X19" i="5" s="1"/>
  <c r="Y20" i="5" s="1"/>
  <c r="Z21" i="5" s="1"/>
  <c r="U18" i="5"/>
  <c r="W17" i="5"/>
  <c r="X18" i="5" s="1"/>
  <c r="Y19" i="5" s="1"/>
  <c r="Z20" i="5" s="1"/>
  <c r="AA21" i="5" s="1"/>
  <c r="S17" i="5"/>
  <c r="T18" i="5" s="1"/>
  <c r="Q17" i="5"/>
  <c r="M17" i="5"/>
  <c r="L18" i="5" s="1"/>
  <c r="K19" i="5" s="1"/>
  <c r="O17" i="5"/>
  <c r="G20" i="5" l="1"/>
  <c r="E20" i="5"/>
  <c r="G21" i="5"/>
  <c r="H21" i="5"/>
  <c r="J20" i="5"/>
  <c r="M18" i="5"/>
  <c r="L19" i="5" s="1"/>
  <c r="K20" i="5" s="1"/>
  <c r="V19" i="5"/>
  <c r="W20" i="5" s="1"/>
  <c r="X21" i="5" s="1"/>
  <c r="T19" i="5"/>
  <c r="R18" i="5"/>
  <c r="S19" i="5" s="1"/>
  <c r="V18" i="5"/>
  <c r="W19" i="5" s="1"/>
  <c r="X20" i="5" s="1"/>
  <c r="Y21" i="5" s="1"/>
  <c r="P18" i="5"/>
  <c r="N18" i="5"/>
  <c r="F21" i="5" l="1"/>
  <c r="D21" i="5"/>
  <c r="N19" i="5"/>
  <c r="O20" i="5" s="1"/>
  <c r="P21" i="5" s="1"/>
  <c r="J21" i="5"/>
  <c r="I21" i="5"/>
  <c r="Q19" i="5"/>
  <c r="R20" i="5" s="1"/>
  <c r="U20" i="5"/>
  <c r="V21" i="5" s="1"/>
  <c r="S20" i="5"/>
  <c r="U19" i="5"/>
  <c r="V20" i="5" s="1"/>
  <c r="W21" i="5" s="1"/>
  <c r="O19" i="5"/>
  <c r="M19" i="5"/>
  <c r="L20" i="5" s="1"/>
  <c r="K21" i="5" s="1"/>
  <c r="M20" i="5" l="1"/>
  <c r="L21" i="5" s="1"/>
  <c r="P20" i="5"/>
  <c r="Q21" i="5" s="1"/>
  <c r="T21" i="5"/>
  <c r="R21" i="5"/>
  <c r="N20" i="5"/>
  <c r="T20" i="5"/>
  <c r="N21" i="5" l="1"/>
  <c r="O21" i="5"/>
  <c r="M21" i="5"/>
  <c r="U21" i="5"/>
  <c r="S21" i="5"/>
</calcChain>
</file>

<file path=xl/sharedStrings.xml><?xml version="1.0" encoding="utf-8"?>
<sst xmlns="http://schemas.openxmlformats.org/spreadsheetml/2006/main" count="59" uniqueCount="35">
  <si>
    <t>Multiplcaton</t>
  </si>
  <si>
    <t>Division X/Y</t>
  </si>
  <si>
    <t>X</t>
  </si>
  <si>
    <t>Y</t>
  </si>
  <si>
    <t>Year</t>
  </si>
  <si>
    <t>Myth of Rule of 72</t>
  </si>
  <si>
    <t>x</t>
  </si>
  <si>
    <t>Compound</t>
  </si>
  <si>
    <t>Simple</t>
  </si>
  <si>
    <t>Division Table</t>
  </si>
  <si>
    <t>o</t>
  </si>
  <si>
    <t>Horizontal</t>
  </si>
  <si>
    <t>result</t>
  </si>
  <si>
    <t>Original</t>
  </si>
  <si>
    <t>5 wolves and 3 sheep</t>
  </si>
  <si>
    <t>|||Vertical</t>
  </si>
  <si>
    <t>\\\ Diagnoal</t>
  </si>
  <si>
    <t>///Diagnoal</t>
  </si>
  <si>
    <t>A</t>
  </si>
  <si>
    <t>B</t>
  </si>
  <si>
    <t>=</t>
  </si>
  <si>
    <t>sum</t>
  </si>
  <si>
    <t>ave</t>
  </si>
  <si>
    <t>Horizonal ---</t>
  </si>
  <si>
    <t>Vertical |||</t>
  </si>
  <si>
    <t>Diagonal XXX</t>
  </si>
  <si>
    <t>Hello World</t>
  </si>
  <si>
    <t>average</t>
  </si>
  <si>
    <t>scores</t>
  </si>
  <si>
    <t>Total</t>
  </si>
  <si>
    <t>Average</t>
  </si>
  <si>
    <t>Id</t>
  </si>
  <si>
    <t>Modulus Table</t>
  </si>
  <si>
    <t>Connect 5</t>
  </si>
  <si>
    <t>2 players take turn to play. You win with 5 pieces in a row, column, or diagonal.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</si>
</sst>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"/>
  </numFmts>
  <fonts count="23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rgb="FF747474"/>
      <name val="PT Sans"/>
      <family val="2"/>
      <charset val="204"/>
    </font>
    <font>
      <sz val="28"/>
      <color theme="1"/>
      <name val="Calibri"/>
      <family val="2"/>
      <scheme val="minor"/>
    </font>
    <font>
      <sz val="36"/>
      <color theme="3"/>
      <name val="Cambria"/>
      <family val="2"/>
      <scheme val="major"/>
    </font>
    <font>
      <sz val="22"/>
      <color theme="1"/>
      <name val="Calibri"/>
      <family val="2"/>
      <scheme val="minor"/>
    </font>
    <font>
      <b/>
      <sz val="16"/>
      <color theme="1"/>
      <name val="PT Sans"/>
      <family val="2"/>
      <charset val="204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</font>
    <font>
      <sz val="8"/>
      <color rgb="FF000000"/>
      <name val="Segoe UI"/>
      <charset val="1"/>
    </font>
    <font>
      <sz val="11"/>
      <color theme="0"/>
      <name val="Calibri"/>
      <family val="2"/>
      <scheme val="minor"/>
    </font>
    <font>
      <sz val="22"/>
      <color rgb="FFFF0000"/>
      <name val="Calibri"/>
      <family val="2"/>
      <scheme val="minor"/>
    </font>
    <font>
      <sz val="72"/>
      <color theme="3"/>
      <name val="Cambria"/>
      <family val="2"/>
      <scheme val="major"/>
    </font>
    <font>
      <sz val="22"/>
      <color theme="6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3"/>
      <name val="Cambria (Headings)"/>
    </font>
    <font>
      <sz val="8"/>
      <color theme="3"/>
      <name val="Cambria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3">
    <xf numFmtId="0" fontId="0" fillId="0" borderId="0" xfId="0"/>
    <xf numFmtId="1" fontId="6" fillId="0" borderId="0" xfId="0" applyNumberFormat="1" applyFont="1" applyAlignment="1">
      <alignment horizontal="center"/>
    </xf>
    <xf numFmtId="1" fontId="6" fillId="0" borderId="1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9" fontId="3" fillId="0" borderId="0" xfId="49" applyFont="1" applyAlignment="1">
      <alignment horizontal="center"/>
    </xf>
    <xf numFmtId="44" fontId="6" fillId="0" borderId="1" xfId="47" applyFont="1" applyFill="1" applyBorder="1" applyAlignment="1"/>
    <xf numFmtId="44" fontId="6" fillId="0" borderId="0" xfId="47" applyFont="1" applyAlignment="1"/>
    <xf numFmtId="44" fontId="6" fillId="4" borderId="0" xfId="47" applyFont="1" applyFill="1" applyAlignment="1"/>
    <xf numFmtId="1" fontId="6" fillId="4" borderId="0" xfId="0" applyNumberFormat="1" applyFont="1" applyFill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distributed" wrapText="1"/>
    </xf>
    <xf numFmtId="0" fontId="9" fillId="0" borderId="0" xfId="0" applyFont="1" applyBorder="1" applyAlignment="1">
      <alignment horizontal="center" vertical="distributed" wrapText="1"/>
    </xf>
    <xf numFmtId="22" fontId="9" fillId="0" borderId="0" xfId="0" applyNumberFormat="1" applyFont="1" applyAlignment="1">
      <alignment horizontal="center" vertical="distributed" wrapText="1"/>
    </xf>
    <xf numFmtId="0" fontId="9" fillId="0" borderId="5" xfId="0" applyFont="1" applyBorder="1" applyAlignment="1">
      <alignment horizontal="center" vertical="distributed" wrapText="1"/>
    </xf>
    <xf numFmtId="0" fontId="9" fillId="0" borderId="6" xfId="0" applyFont="1" applyBorder="1" applyAlignment="1">
      <alignment horizontal="center" vertical="distributed" wrapText="1"/>
    </xf>
    <xf numFmtId="0" fontId="9" fillId="0" borderId="7" xfId="0" applyFont="1" applyBorder="1" applyAlignment="1">
      <alignment horizontal="center" vertical="distributed" wrapText="1"/>
    </xf>
    <xf numFmtId="0" fontId="9" fillId="0" borderId="8" xfId="0" applyFont="1" applyBorder="1" applyAlignment="1">
      <alignment horizontal="center" vertical="distributed" wrapText="1"/>
    </xf>
    <xf numFmtId="0" fontId="9" fillId="0" borderId="22" xfId="0" applyFont="1" applyBorder="1" applyAlignment="1">
      <alignment horizontal="center" vertical="distributed" wrapText="1"/>
    </xf>
    <xf numFmtId="0" fontId="9" fillId="0" borderId="1" xfId="0" applyFont="1" applyBorder="1" applyAlignment="1">
      <alignment horizontal="center" vertical="distributed" wrapText="1"/>
    </xf>
    <xf numFmtId="0" fontId="9" fillId="4" borderId="1" xfId="0" applyFont="1" applyFill="1" applyBorder="1" applyAlignment="1">
      <alignment horizontal="center" vertical="distributed" wrapText="1"/>
    </xf>
    <xf numFmtId="22" fontId="9" fillId="0" borderId="0" xfId="0" applyNumberFormat="1" applyFont="1" applyBorder="1" applyAlignment="1">
      <alignment horizontal="center" vertical="distributed" wrapText="1"/>
    </xf>
    <xf numFmtId="0" fontId="9" fillId="0" borderId="10" xfId="0" applyFont="1" applyBorder="1" applyAlignment="1">
      <alignment horizontal="center" vertical="distributed" wrapText="1"/>
    </xf>
    <xf numFmtId="0" fontId="9" fillId="0" borderId="13" xfId="0" applyFont="1" applyBorder="1" applyAlignment="1">
      <alignment horizontal="center" vertical="distributed" wrapText="1"/>
    </xf>
    <xf numFmtId="0" fontId="9" fillId="0" borderId="23" xfId="0" applyFont="1" applyBorder="1" applyAlignment="1">
      <alignment horizontal="center" vertical="distributed" wrapText="1"/>
    </xf>
    <xf numFmtId="0" fontId="9" fillId="0" borderId="21" xfId="0" applyFont="1" applyBorder="1" applyAlignment="1">
      <alignment horizontal="center" vertical="distributed" wrapText="1"/>
    </xf>
    <xf numFmtId="0" fontId="9" fillId="0" borderId="9" xfId="0" applyFont="1" applyBorder="1" applyAlignment="1">
      <alignment horizontal="center" vertical="distributed" wrapText="1"/>
    </xf>
    <xf numFmtId="0" fontId="9" fillId="0" borderId="25" xfId="0" applyFont="1" applyBorder="1" applyAlignment="1">
      <alignment horizontal="center" vertical="distributed" wrapText="1"/>
    </xf>
    <xf numFmtId="0" fontId="9" fillId="0" borderId="11" xfId="0" applyFont="1" applyBorder="1" applyAlignment="1">
      <alignment horizontal="center" vertical="distributed" wrapText="1"/>
    </xf>
    <xf numFmtId="0" fontId="9" fillId="0" borderId="12" xfId="0" applyFont="1" applyBorder="1" applyAlignment="1">
      <alignment horizontal="center" vertical="distributed" wrapText="1"/>
    </xf>
    <xf numFmtId="0" fontId="9" fillId="0" borderId="20" xfId="0" applyFont="1" applyBorder="1" applyAlignment="1">
      <alignment horizontal="center" vertical="distributed" wrapText="1"/>
    </xf>
    <xf numFmtId="0" fontId="9" fillId="0" borderId="18" xfId="0" applyFont="1" applyBorder="1" applyAlignment="1">
      <alignment horizontal="center" vertical="distributed" wrapText="1"/>
    </xf>
    <xf numFmtId="0" fontId="9" fillId="0" borderId="19" xfId="0" applyFont="1" applyBorder="1" applyAlignment="1">
      <alignment horizontal="center" vertical="distributed" wrapText="1"/>
    </xf>
    <xf numFmtId="0" fontId="9" fillId="4" borderId="2" xfId="0" applyFont="1" applyFill="1" applyBorder="1" applyAlignment="1">
      <alignment horizontal="center" vertical="distributed" wrapText="1"/>
    </xf>
    <xf numFmtId="0" fontId="9" fillId="4" borderId="3" xfId="0" applyFont="1" applyFill="1" applyBorder="1" applyAlignment="1">
      <alignment horizontal="center" vertical="distributed" wrapText="1"/>
    </xf>
    <xf numFmtId="0" fontId="9" fillId="0" borderId="26" xfId="0" applyFont="1" applyBorder="1" applyAlignment="1">
      <alignment horizontal="center" vertical="distributed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9" fillId="0" borderId="27" xfId="0" applyFont="1" applyBorder="1" applyAlignment="1">
      <alignment horizontal="center" vertical="distributed" wrapText="1"/>
    </xf>
    <xf numFmtId="0" fontId="1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0" xfId="0" applyFont="1"/>
    <xf numFmtId="0" fontId="16" fillId="0" borderId="0" xfId="0" applyFont="1"/>
    <xf numFmtId="0" fontId="11" fillId="0" borderId="20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9" fillId="0" borderId="29" xfId="0" applyFont="1" applyBorder="1" applyAlignment="1">
      <alignment horizontal="center" vertical="distributed" wrapText="1"/>
    </xf>
    <xf numFmtId="0" fontId="17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0" fontId="5" fillId="0" borderId="0" xfId="48" applyBorder="1" applyAlignment="1">
      <alignment horizontal="center"/>
    </xf>
    <xf numFmtId="1" fontId="5" fillId="2" borderId="4" xfId="48" applyNumberFormat="1" applyFill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1" fontId="5" fillId="0" borderId="3" xfId="48" applyNumberFormat="1" applyBorder="1" applyAlignment="1">
      <alignment horizontal="center"/>
    </xf>
    <xf numFmtId="1" fontId="5" fillId="0" borderId="24" xfId="48" applyNumberFormat="1" applyBorder="1" applyAlignment="1">
      <alignment horizontal="center"/>
    </xf>
    <xf numFmtId="1" fontId="5" fillId="0" borderId="30" xfId="48" applyNumberFormat="1" applyBorder="1" applyAlignment="1">
      <alignment horizontal="center"/>
    </xf>
    <xf numFmtId="0" fontId="10" fillId="6" borderId="14" xfId="48" applyFont="1" applyFill="1" applyBorder="1" applyAlignment="1">
      <alignment horizontal="center" vertical="distributed" wrapText="1"/>
    </xf>
    <xf numFmtId="0" fontId="10" fillId="6" borderId="15" xfId="48" applyFont="1" applyFill="1" applyBorder="1" applyAlignment="1">
      <alignment horizontal="center" vertical="distributed" wrapText="1"/>
    </xf>
    <xf numFmtId="0" fontId="9" fillId="0" borderId="17" xfId="0" applyFont="1" applyBorder="1" applyAlignment="1">
      <alignment horizontal="center" vertical="distributed" wrapText="1"/>
    </xf>
    <xf numFmtId="0" fontId="10" fillId="4" borderId="14" xfId="48" applyFont="1" applyFill="1" applyBorder="1" applyAlignment="1">
      <alignment horizontal="center" vertical="distributed" wrapText="1"/>
    </xf>
    <xf numFmtId="0" fontId="10" fillId="4" borderId="15" xfId="48" applyFont="1" applyFill="1" applyBorder="1" applyAlignment="1">
      <alignment horizontal="center" vertical="distributed" wrapText="1"/>
    </xf>
    <xf numFmtId="0" fontId="10" fillId="4" borderId="16" xfId="48" applyFont="1" applyFill="1" applyBorder="1" applyAlignment="1">
      <alignment horizontal="center" vertical="distributed" wrapText="1"/>
    </xf>
    <xf numFmtId="0" fontId="9" fillId="6" borderId="24" xfId="0" applyFont="1" applyFill="1" applyBorder="1" applyAlignment="1">
      <alignment horizontal="center" vertical="distributed" wrapText="1"/>
    </xf>
    <xf numFmtId="0" fontId="9" fillId="0" borderId="24" xfId="0" applyFont="1" applyBorder="1" applyAlignment="1">
      <alignment horizontal="center" vertical="distributed" wrapText="1"/>
    </xf>
    <xf numFmtId="0" fontId="5" fillId="0" borderId="0" xfId="48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5" fillId="0" borderId="0" xfId="48" applyAlignment="1">
      <alignment horizontal="center"/>
    </xf>
    <xf numFmtId="0" fontId="0" fillId="0" borderId="17" xfId="0" applyBorder="1" applyAlignment="1">
      <alignment horizontal="center"/>
    </xf>
    <xf numFmtId="0" fontId="0" fillId="0" borderId="24" xfId="0" applyBorder="1" applyAlignment="1">
      <alignment horizontal="center"/>
    </xf>
    <xf numFmtId="0" fontId="18" fillId="0" borderId="0" xfId="48" applyFont="1" applyBorder="1" applyAlignment="1">
      <alignment horizontal="center" vertical="center"/>
    </xf>
    <xf numFmtId="0" fontId="21" fillId="0" borderId="0" xfId="48" applyFont="1" applyBorder="1" applyAlignment="1"/>
    <xf numFmtId="0" fontId="22" fillId="0" borderId="0" xfId="48" applyFont="1" applyBorder="1" applyAlignment="1"/>
    <xf numFmtId="0" fontId="13" fillId="0" borderId="20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</cellXfs>
  <cellStyles count="50">
    <cellStyle name="Currency" xfId="47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  <cellStyle name="Percent" xfId="49" builtinId="5"/>
    <cellStyle name="Title" xfId="48" builtinId="15"/>
  </cellStyles>
  <dxfs count="49"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Compund!$D$6</c:f>
              <c:strCache>
                <c:ptCount val="1"/>
                <c:pt idx="0">
                  <c:v>Compound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Compund!$E$6:$V$6</c:f>
              <c:numCache>
                <c:formatCode>_("$"* #,##0.00_);_("$"* \(#,##0.00\);_("$"* "-"??_);_(@_)</c:formatCode>
                <c:ptCount val="18"/>
                <c:pt idx="0">
                  <c:v>100</c:v>
                </c:pt>
                <c:pt idx="1">
                  <c:v>112</c:v>
                </c:pt>
                <c:pt idx="2">
                  <c:v>125.44</c:v>
                </c:pt>
                <c:pt idx="3">
                  <c:v>140.49279999999999</c:v>
                </c:pt>
                <c:pt idx="4">
                  <c:v>157.35193599999999</c:v>
                </c:pt>
                <c:pt idx="5">
                  <c:v>176.23416831999998</c:v>
                </c:pt>
                <c:pt idx="6">
                  <c:v>197.38226851839997</c:v>
                </c:pt>
                <c:pt idx="7">
                  <c:v>221.06814074060796</c:v>
                </c:pt>
                <c:pt idx="8">
                  <c:v>247.59631762948092</c:v>
                </c:pt>
                <c:pt idx="9">
                  <c:v>277.30787574501863</c:v>
                </c:pt>
                <c:pt idx="10">
                  <c:v>310.58482083442084</c:v>
                </c:pt>
                <c:pt idx="11">
                  <c:v>347.85499933455134</c:v>
                </c:pt>
                <c:pt idx="12">
                  <c:v>389.59759925469751</c:v>
                </c:pt>
                <c:pt idx="13">
                  <c:v>436.34931116526121</c:v>
                </c:pt>
                <c:pt idx="14">
                  <c:v>488.71122850509255</c:v>
                </c:pt>
                <c:pt idx="15">
                  <c:v>547.35657592570362</c:v>
                </c:pt>
                <c:pt idx="16">
                  <c:v>613.03936503678801</c:v>
                </c:pt>
                <c:pt idx="17">
                  <c:v>686.60408884120261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3-B846-AFAD-044BD0EACFC1}"/>
            </c:ext>
          </c:extLst>
        </c:ser>
        <c:ser>
          <c:idx val="1"/>
          <c:order val="1"/>
          <c:tx>
            <c:strRef>
              <c:f>Compund!$D$7</c:f>
              <c:strCache>
                <c:ptCount val="1"/>
                <c:pt idx="0">
                  <c:v>Simple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Compund!$E$7:$V$7</c:f>
              <c:numCache>
                <c:formatCode>_("$"* #,##0.00_);_("$"* \(#,##0.00\);_("$"* "-"??_);_(@_)</c:formatCode>
                <c:ptCount val="18"/>
                <c:pt idx="0">
                  <c:v>100</c:v>
                </c:pt>
                <c:pt idx="1">
                  <c:v>112</c:v>
                </c:pt>
                <c:pt idx="2">
                  <c:v>124</c:v>
                </c:pt>
                <c:pt idx="3">
                  <c:v>136</c:v>
                </c:pt>
                <c:pt idx="4">
                  <c:v>148</c:v>
                </c:pt>
                <c:pt idx="5">
                  <c:v>160</c:v>
                </c:pt>
                <c:pt idx="6">
                  <c:v>172</c:v>
                </c:pt>
                <c:pt idx="7">
                  <c:v>184</c:v>
                </c:pt>
                <c:pt idx="8">
                  <c:v>196</c:v>
                </c:pt>
                <c:pt idx="9">
                  <c:v>208</c:v>
                </c:pt>
                <c:pt idx="10">
                  <c:v>220</c:v>
                </c:pt>
                <c:pt idx="11">
                  <c:v>232</c:v>
                </c:pt>
                <c:pt idx="12">
                  <c:v>244</c:v>
                </c:pt>
                <c:pt idx="13">
                  <c:v>256</c:v>
                </c:pt>
                <c:pt idx="14">
                  <c:v>268</c:v>
                </c:pt>
                <c:pt idx="15">
                  <c:v>280</c:v>
                </c:pt>
                <c:pt idx="16">
                  <c:v>292</c:v>
                </c:pt>
                <c:pt idx="17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33-B846-AFAD-044BD0EAC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183359"/>
        <c:axId val="256185039"/>
      </c:lineChart>
      <c:catAx>
        <c:axId val="256183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85039"/>
        <c:crosses val="autoZero"/>
        <c:auto val="1"/>
        <c:lblAlgn val="ctr"/>
        <c:lblOffset val="100"/>
        <c:noMultiLvlLbl val="0"/>
      </c:catAx>
      <c:valAx>
        <c:axId val="25618503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8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Compund!$D$6</c:f>
              <c:strCache>
                <c:ptCount val="1"/>
                <c:pt idx="0">
                  <c:v>Compound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Compund!$E$6:$W$6</c:f>
              <c:numCache>
                <c:formatCode>_("$"* #,##0.00_);_("$"* \(#,##0.00\);_("$"* "-"??_);_(@_)</c:formatCode>
                <c:ptCount val="19"/>
                <c:pt idx="0">
                  <c:v>100</c:v>
                </c:pt>
                <c:pt idx="1">
                  <c:v>112</c:v>
                </c:pt>
                <c:pt idx="2">
                  <c:v>125.44</c:v>
                </c:pt>
                <c:pt idx="3">
                  <c:v>140.49279999999999</c:v>
                </c:pt>
                <c:pt idx="4">
                  <c:v>157.35193599999999</c:v>
                </c:pt>
                <c:pt idx="5">
                  <c:v>176.23416831999998</c:v>
                </c:pt>
                <c:pt idx="6">
                  <c:v>197.38226851839997</c:v>
                </c:pt>
                <c:pt idx="7">
                  <c:v>221.06814074060796</c:v>
                </c:pt>
                <c:pt idx="8">
                  <c:v>247.59631762948092</c:v>
                </c:pt>
                <c:pt idx="9">
                  <c:v>277.30787574501863</c:v>
                </c:pt>
                <c:pt idx="10">
                  <c:v>310.58482083442084</c:v>
                </c:pt>
                <c:pt idx="11">
                  <c:v>347.85499933455134</c:v>
                </c:pt>
                <c:pt idx="12">
                  <c:v>389.59759925469751</c:v>
                </c:pt>
                <c:pt idx="13">
                  <c:v>436.34931116526121</c:v>
                </c:pt>
                <c:pt idx="14">
                  <c:v>488.71122850509255</c:v>
                </c:pt>
                <c:pt idx="15">
                  <c:v>547.35657592570362</c:v>
                </c:pt>
                <c:pt idx="16">
                  <c:v>613.03936503678801</c:v>
                </c:pt>
                <c:pt idx="17">
                  <c:v>686.60408884120261</c:v>
                </c:pt>
                <c:pt idx="18">
                  <c:v>768.99657950214691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C-2247-A7CD-4A0543B4702F}"/>
            </c:ext>
          </c:extLst>
        </c:ser>
        <c:ser>
          <c:idx val="1"/>
          <c:order val="1"/>
          <c:tx>
            <c:strRef>
              <c:f>Compund!$D$7</c:f>
              <c:strCache>
                <c:ptCount val="1"/>
                <c:pt idx="0">
                  <c:v>Simple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Compund!$E$7:$W$7</c:f>
              <c:numCache>
                <c:formatCode>_("$"* #,##0.00_);_("$"* \(#,##0.00\);_("$"* "-"??_);_(@_)</c:formatCode>
                <c:ptCount val="19"/>
                <c:pt idx="0">
                  <c:v>100</c:v>
                </c:pt>
                <c:pt idx="1">
                  <c:v>112</c:v>
                </c:pt>
                <c:pt idx="2">
                  <c:v>124</c:v>
                </c:pt>
                <c:pt idx="3">
                  <c:v>136</c:v>
                </c:pt>
                <c:pt idx="4">
                  <c:v>148</c:v>
                </c:pt>
                <c:pt idx="5">
                  <c:v>160</c:v>
                </c:pt>
                <c:pt idx="6">
                  <c:v>172</c:v>
                </c:pt>
                <c:pt idx="7">
                  <c:v>184</c:v>
                </c:pt>
                <c:pt idx="8">
                  <c:v>196</c:v>
                </c:pt>
                <c:pt idx="9">
                  <c:v>208</c:v>
                </c:pt>
                <c:pt idx="10">
                  <c:v>220</c:v>
                </c:pt>
                <c:pt idx="11">
                  <c:v>232</c:v>
                </c:pt>
                <c:pt idx="12">
                  <c:v>244</c:v>
                </c:pt>
                <c:pt idx="13">
                  <c:v>256</c:v>
                </c:pt>
                <c:pt idx="14">
                  <c:v>268</c:v>
                </c:pt>
                <c:pt idx="15">
                  <c:v>280</c:v>
                </c:pt>
                <c:pt idx="16">
                  <c:v>292</c:v>
                </c:pt>
                <c:pt idx="17">
                  <c:v>304</c:v>
                </c:pt>
                <c:pt idx="18">
                  <c:v>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C-2247-A7CD-4A0543B47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126351"/>
        <c:axId val="368128031"/>
      </c:barChart>
      <c:catAx>
        <c:axId val="36812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28031"/>
        <c:crosses val="autoZero"/>
        <c:auto val="1"/>
        <c:lblAlgn val="ctr"/>
        <c:lblOffset val="100"/>
        <c:noMultiLvlLbl val="0"/>
      </c:catAx>
      <c:valAx>
        <c:axId val="36812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2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fmlaLink="$S$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642056</xdr:colOff>
      <xdr:row>9</xdr:row>
      <xdr:rowOff>157104</xdr:rowOff>
    </xdr:from>
    <xdr:to>
      <xdr:col>14</xdr:col>
      <xdr:colOff>787871</xdr:colOff>
      <xdr:row>26</xdr:row>
      <xdr:rowOff>188148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265759</xdr:colOff>
      <xdr:row>10</xdr:row>
      <xdr:rowOff>86547</xdr:rowOff>
    </xdr:from>
    <xdr:to>
      <xdr:col>26</xdr:col>
      <xdr:colOff>141111</xdr:colOff>
      <xdr:row>27</xdr:row>
      <xdr:rowOff>152870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267575" y="209549"/>
          <a:ext cx="1812925" cy="23050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1558925</xdr:colOff>
      <xdr:row>0</xdr:row>
      <xdr:rowOff>317500</xdr:rowOff>
    </xdr:from>
    <xdr:to>
      <xdr:col>15</xdr:col>
      <xdr:colOff>0</xdr:colOff>
      <xdr:row>7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273925" y="317500"/>
          <a:ext cx="1400175" cy="23114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5772150" y="2571750"/>
          <a:ext cx="3336925" cy="9652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317500</xdr:rowOff>
        </xdr:from>
        <xdr:to>
          <xdr:col>17</xdr:col>
          <xdr:colOff>76200</xdr:colOff>
          <xdr:row>8</xdr:row>
          <xdr:rowOff>215900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330200</xdr:rowOff>
        </xdr:from>
        <xdr:to>
          <xdr:col>11</xdr:col>
          <xdr:colOff>457200</xdr:colOff>
          <xdr:row>4</xdr:row>
          <xdr:rowOff>50800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25400</xdr:rowOff>
        </xdr:from>
        <xdr:to>
          <xdr:col>11</xdr:col>
          <xdr:colOff>457200</xdr:colOff>
          <xdr:row>3</xdr:row>
          <xdr:rowOff>50800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3</xdr:row>
          <xdr:rowOff>279400</xdr:rowOff>
        </xdr:from>
        <xdr:to>
          <xdr:col>11</xdr:col>
          <xdr:colOff>457200</xdr:colOff>
          <xdr:row>5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4</xdr:row>
          <xdr:rowOff>215900</xdr:rowOff>
        </xdr:from>
        <xdr:to>
          <xdr:col>11</xdr:col>
          <xdr:colOff>457200</xdr:colOff>
          <xdr:row>6</xdr:row>
          <xdr:rowOff>38100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5</xdr:row>
          <xdr:rowOff>152400</xdr:rowOff>
        </xdr:from>
        <xdr:to>
          <xdr:col>11</xdr:col>
          <xdr:colOff>457200</xdr:colOff>
          <xdr:row>6</xdr:row>
          <xdr:rowOff>190500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7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6</xdr:row>
          <xdr:rowOff>101600</xdr:rowOff>
        </xdr:from>
        <xdr:to>
          <xdr:col>11</xdr:col>
          <xdr:colOff>457200</xdr:colOff>
          <xdr:row>7</xdr:row>
          <xdr:rowOff>127000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5</xdr:row>
          <xdr:rowOff>165100</xdr:rowOff>
        </xdr:from>
        <xdr:to>
          <xdr:col>17</xdr:col>
          <xdr:colOff>114300</xdr:colOff>
          <xdr:row>6</xdr:row>
          <xdr:rowOff>25400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317500</xdr:rowOff>
        </xdr:from>
        <xdr:to>
          <xdr:col>11</xdr:col>
          <xdr:colOff>1397000</xdr:colOff>
          <xdr:row>9</xdr:row>
          <xdr:rowOff>203200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330200</xdr:rowOff>
        </xdr:from>
        <xdr:to>
          <xdr:col>14</xdr:col>
          <xdr:colOff>0</xdr:colOff>
          <xdr:row>4</xdr:row>
          <xdr:rowOff>50800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25400</xdr:rowOff>
        </xdr:from>
        <xdr:to>
          <xdr:col>14</xdr:col>
          <xdr:colOff>0</xdr:colOff>
          <xdr:row>3</xdr:row>
          <xdr:rowOff>50800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7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</xdr:row>
          <xdr:rowOff>292100</xdr:rowOff>
        </xdr:from>
        <xdr:to>
          <xdr:col>14</xdr:col>
          <xdr:colOff>0</xdr:colOff>
          <xdr:row>5</xdr:row>
          <xdr:rowOff>38100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7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</xdr:row>
          <xdr:rowOff>215900</xdr:rowOff>
        </xdr:from>
        <xdr:to>
          <xdr:col>14</xdr:col>
          <xdr:colOff>0</xdr:colOff>
          <xdr:row>6</xdr:row>
          <xdr:rowOff>50800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7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1651000</xdr:colOff>
          <xdr:row>8</xdr:row>
          <xdr:rowOff>317500</xdr:rowOff>
        </xdr:from>
        <xdr:to>
          <xdr:col>17</xdr:col>
          <xdr:colOff>76200</xdr:colOff>
          <xdr:row>9</xdr:row>
          <xdr:rowOff>203200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6</xdr:row>
          <xdr:rowOff>139700</xdr:rowOff>
        </xdr:from>
        <xdr:to>
          <xdr:col>14</xdr:col>
          <xdr:colOff>0</xdr:colOff>
          <xdr:row>7</xdr:row>
          <xdr:rowOff>355600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Highlight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AMP/htdocs/classes/csci8_chabot/my.midterm/exCel/Sudoku-Puzzle-Cre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bug"/>
      <sheetName val="Sudoku"/>
      <sheetName val="Easy"/>
      <sheetName val="Medium"/>
      <sheetName val="Hard"/>
      <sheetName val="Expert"/>
      <sheetName val="Extreme"/>
      <sheetName val="Oh dear"/>
      <sheetName val="Help"/>
      <sheetName val="Sudoku-Puzzle-Creator"/>
    </sheetNames>
    <definedNames>
      <definedName name="Check"/>
      <definedName name="CreateEasyPuzzle"/>
      <definedName name="CreateExpertPuzzle"/>
      <definedName name="CreateExtremePuzzle"/>
      <definedName name="CreateHardPuzzle"/>
      <definedName name="CreateMediumPuzzle"/>
      <definedName name="CreateOhDearPuzzle"/>
      <definedName name="Help"/>
      <definedName name="Highlight"/>
      <definedName name="NextMove"/>
      <definedName name="RemoveAids"/>
      <definedName name="Reset"/>
      <definedName name="SolveGridOnScreen"/>
      <definedName name="UnSolve"/>
    </definedNames>
    <sheetDataSet>
      <sheetData sheetId="0">
        <row r="16">
          <cell r="N16">
            <v>0</v>
          </cell>
        </row>
        <row r="17">
          <cell r="N17">
            <v>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///%20Diagnoa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43BD-FB14-0844-803B-5EB0857BD617}">
  <sheetPr codeName="Sheet2"/>
  <dimension ref="D3:Z31"/>
  <sheetViews>
    <sheetView tabSelected="1" topLeftCell="B8" zoomScale="188" zoomScaleNormal="188" workbookViewId="0">
      <selection activeCell="O7" sqref="O7"/>
    </sheetView>
  </sheetViews>
  <sheetFormatPr baseColWidth="10" defaultColWidth="4.83203125" defaultRowHeight="20" customHeight="1"/>
  <cols>
    <col min="1" max="3" width="4.83203125" style="54"/>
    <col min="4" max="4" width="5.1640625" style="54" bestFit="1" customWidth="1"/>
    <col min="5" max="5" width="4.83203125" style="54"/>
    <col min="6" max="8" width="5" style="54" bestFit="1" customWidth="1"/>
    <col min="9" max="9" width="4.83203125" style="54"/>
    <col min="10" max="10" width="5" style="54" bestFit="1" customWidth="1"/>
    <col min="11" max="16" width="4.83203125" style="54"/>
    <col min="17" max="26" width="5.33203125" style="54" bestFit="1" customWidth="1"/>
    <col min="27" max="16384" width="4.83203125" style="54"/>
  </cols>
  <sheetData>
    <row r="3" spans="4:26" ht="20" customHeight="1">
      <c r="D3" s="94" t="s">
        <v>33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</row>
    <row r="4" spans="4:26" ht="20" customHeight="1">
      <c r="D4" s="80"/>
      <c r="E4" s="103" t="s">
        <v>34</v>
      </c>
      <c r="F4" s="104"/>
      <c r="G4" s="104"/>
      <c r="H4" s="104"/>
      <c r="I4" s="104"/>
      <c r="J4" s="104"/>
      <c r="K4" s="104"/>
      <c r="L4" s="104"/>
      <c r="M4" s="104"/>
      <c r="N4" s="104"/>
      <c r="O4" s="80"/>
    </row>
    <row r="5" spans="4:26" ht="20" customHeight="1" thickBot="1"/>
    <row r="6" spans="4:26" ht="20" customHeight="1">
      <c r="E6" s="105"/>
      <c r="F6" s="106"/>
      <c r="G6" s="106"/>
      <c r="H6" s="106"/>
      <c r="I6" s="106"/>
      <c r="J6" s="106"/>
      <c r="K6" s="106"/>
      <c r="L6" s="106"/>
      <c r="M6" s="106"/>
      <c r="N6" s="107"/>
      <c r="Q6" s="53" t="b">
        <f>AND(E6&lt;&gt;"", OR( AND(E6=A1,E6=B2,E6=C3,E6=D5), AND(E6=B2,E6=C3,E6=D5,E6=F7), AND(E6=C3,E6=D5,E6=F7,E6=G8), AND(E6=D5,E6=F7,E6=G8,E6=H9), AND(E6=F7,E6=G8,E6=H9,E6=I10), AND(E6=A10,E6=B9,E6=C8,E6=D7), AND(E6=B9,E6=C8,E6=D7,E6=F5), AND(E6=C8,E6=D7,E6=F5,E6=G3), AND(E6=D7,E6=F5,E6=G3,E6=H2), AND(E6=F5,E6=G3,E6=H2,E6=I1), AND(E6=E1,E6=E2,E6=E3,E6=E5), AND(E6=E2,E6=E3,E6=E5,E6=E7), AND(E6=E3,E6=E5,E6=E7,E6=E8), AND(E6=E5,E6=E7,E6=E8,E6=E9), AND(E6=E7,E6=E8,E6=E9,E6=E10), AND(E6=A6,E6=B6,E6=C6,E6=D6), AND(E6=B6,E6=C6,E6=D6,E6=F6), AND(E6=C6,E6=D6,E6=F6,E6=G6), AND(E6=D6,E6=F6,E6=G6,E6=H6), AND(E6=F6,E6=G6,E6=H6,E6=I6)) )</f>
        <v>0</v>
      </c>
      <c r="R6" s="53" t="b">
        <f t="shared" ref="R6:V6" si="0">AND(F6&lt;&gt;"", OR( AND(F6=B1,F6=C2,F6=D3,F6=E5), AND(F6=C2,F6=D3,F6=E5,F6=G7), AND(F6=D3,F6=E5,F6=G7,F6=H8), AND(F6=E5,F6=G7,F6=H8,F6=I9), AND(F6=G7,F6=H8,F6=I9,F6=J10), AND(F6=B10,F6=C9,F6=D8,F6=E7), AND(F6=C9,F6=D8,F6=E7,F6=G5), AND(F6=D8,F6=E7,F6=G5,F6=H3), AND(F6=E7,F6=G5,F6=H3,F6=I2), AND(F6=G5,F6=H3,F6=I2,F6=J1), AND(F6=F1,F6=F2,F6=F3,F6=F5), AND(F6=F2,F6=F3,F6=F5,F6=F7), AND(F6=F3,F6=F5,F6=F7,F6=F8), AND(F6=F5,F6=F7,F6=F8,F6=F9), AND(F6=F7,F6=F8,F6=F9,F6=F10), AND(F6=B6,F6=C6,F6=D6,F6=E6), AND(F6=C6,F6=D6,F6=E6,F6=G6), AND(F6=D6,F6=E6,F6=G6,F6=H6), AND(F6=E6,F6=G6,F6=H6,F6=I6), AND(F6=G6,F6=H6,F6=I6,F6=J6)) )</f>
        <v>0</v>
      </c>
      <c r="S6" s="53" t="b">
        <f t="shared" si="0"/>
        <v>0</v>
      </c>
      <c r="T6" s="53" t="b">
        <f t="shared" si="0"/>
        <v>0</v>
      </c>
      <c r="U6" s="53" t="b">
        <f t="shared" si="0"/>
        <v>0</v>
      </c>
      <c r="V6" s="53" t="b">
        <f t="shared" si="0"/>
        <v>0</v>
      </c>
      <c r="W6" s="53" t="b">
        <f>AND(K6&lt;&gt;"", OR( AND(K6=G1,K6=H2,K6=I3,K6=J5), AND(K6=H2,K6=I3,K6=J5,K6=L7), AND(K6=I3,K6=J5,K6=L7,K6=M8), AND(K6=J5,K6=L7,K6=M8,K6=N9), AND(K6=L7,K6=M8,K6=N9,K6=P10), AND(K6=G10,K6=H9,K6=I8,K6=J7), AND(K6=H9,K6=I8,K6=J7,K6=L5), AND(K6=I8,K6=J7,K6=L5,K6=M3), AND(K6=J7,K6=L5,K6=M3,K6=N2), AND(K6=L5,K6=M3,K6=N2,K6=P1), AND(K6=K1,K6=K2,K6=K3,K6=K5), AND(K6=K2,K6=K3,K6=K5,K6=K7), AND(K6=K3,K6=K5,K6=K7,K6=K8), AND(K6=K5,K6=K7,K6=K8,K6=K9), AND(K6=K7,K6=K8,K6=K9,K6=K10), AND(K6=G6,K6=H6,K6=I6,K6=J6), AND(K6=H6,K6=I6,K6=J6,K6=L6), AND(K6=I6,K6=J6,K6=L6,K6=M6), AND(K6=J6,K6=L6,K6=M6,K6=N6), AND(K6=L6,K6=M6,K6=N6,K6=P6)) )</f>
        <v>0</v>
      </c>
      <c r="X6" s="53" t="b">
        <f>AND(L6&lt;&gt;"", OR( AND(L6=H1,L6=I2,L6=J3,L6=K5), AND(L6=I2,L6=J3,L6=K5,L6=M7), AND(L6=J3,L6=K5,L6=M7,L6=N8), AND(L6=K5,L6=M7,L6=N8,L6=P9), AND(L6=M7,L6=N8,L6=P9,L6=Q10), AND(L6=H10,L6=I9,L6=J8,L6=K7), AND(L6=I9,L6=J8,L6=K7,L6=M5), AND(L6=J8,L6=K7,L6=M5,L6=N3), AND(L6=K7,L6=M5,L6=N3,L6=P2), AND(L6=M5,L6=N3,L6=P2,L6=Q1), AND(L6=L1,L6=L2,L6=L3,L6=L5), AND(L6=L2,L6=L3,L6=L5,L6=L7), AND(L6=L3,L6=L5,L6=L7,L6=L8), AND(L6=L5,L6=L7,L6=L8,L6=L9), AND(L6=L7,L6=L8,L6=L9,L6=L10), AND(L6=H6,L6=I6,L6=J6,L6=K6), AND(L6=I6,L6=J6,L6=K6,L6=M6), AND(L6=J6,L6=K6,L6=M6,L6=N6), AND(L6=K6,L6=M6,L6=N6,L6=P6), AND(L6=M6,L6=N6,L6=P6,L6=Q6)) )</f>
        <v>0</v>
      </c>
      <c r="Y6" s="53" t="b">
        <f>AND(M6&lt;&gt;"", OR( AND(M6=I1,M6=J2,M6=K3,M6=L5), AND(M6=J2,M6=K3,M6=L5,M6=N7), AND(M6=K3,M6=L5,M6=N7,M6=P8), AND(M6=L5,M6=N7,M6=P8,M6=Q9), AND(M6=N7,M6=P8,M6=Q9,M6=R10), AND(M6=I10,M6=J9,M6=K8,M6=L7), AND(M6=J9,M6=K8,M6=L7,M6=N5), AND(M6=K8,M6=L7,M6=N5,M6=P3), AND(M6=L7,M6=N5,M6=P3,M6=Q2), AND(M6=N5,M6=P3,M6=Q2,M6=R1), AND(M6=M1,M6=M2,M6=M3,M6=M5), AND(M6=M2,M6=M3,M6=M5,M6=M7), AND(M6=M3,M6=M5,M6=M7,M6=M8), AND(M6=M5,M6=M7,M6=M8,M6=M9), AND(M6=M7,M6=M8,M6=M9,M6=M10), AND(M6=I6,M6=J6,M6=K6,M6=L6), AND(M6=J6,M6=K6,M6=L6,M6=N6), AND(M6=K6,M6=L6,M6=N6,M6=P6), AND(M6=L6,M6=N6,M6=P6,M6=Q6), AND(M6=N6,M6=P6,M6=Q6,M6=R6)) )</f>
        <v>0</v>
      </c>
      <c r="Z6" s="53" t="b">
        <f>AND(N6&lt;&gt;"", OR( AND(N6=J1,N6=K2,N6=L3,N6=M5), AND(N6=K2,N6=L3,N6=M5,N6=P7), AND(N6=L3,N6=M5,N6=P7,N6=Q8), AND(N6=M5,N6=P7,N6=Q8,N6=R9), AND(N6=P7,N6=Q8,N6=R9,N6=S10), AND(N6=J10,N6=K9,N6=L8,N6=M7), AND(N6=K9,N6=L8,N6=M7,N6=P5), AND(N6=L8,N6=M7,N6=P5,N6=Q3), AND(N6=M7,N6=P5,N6=Q3,N6=R2), AND(N6=P5,N6=Q3,N6=R2,N6=S1), AND(N6=N1,N6=N2,N6=N3,N6=N5), AND(N6=N2,N6=N3,N6=N5,N6=N7), AND(N6=N3,N6=N5,N6=N7,N6=N8), AND(N6=N5,N6=N7,N6=N8,N6=N9), AND(N6=N7,N6=N8,N6=N9,N6=N10), AND(N6=J6,N6=K6,N6=L6,N6=M6), AND(N6=K6,N6=L6,N6=M6,N6=P6), AND(N6=L6,N6=M6,N6=P6,N6=Q6), AND(N6=M6,N6=P6,N6=Q6,N6=R6), AND(N6=P6,N6=Q6,N6=R6,N6=S6)) )</f>
        <v>0</v>
      </c>
    </row>
    <row r="7" spans="4:26" ht="20" customHeight="1">
      <c r="E7" s="108"/>
      <c r="F7" s="53"/>
      <c r="G7" s="53"/>
      <c r="H7" s="53"/>
      <c r="I7" s="53"/>
      <c r="J7" s="53"/>
      <c r="K7" s="53"/>
      <c r="L7" s="53"/>
      <c r="M7" s="53"/>
      <c r="N7" s="109"/>
      <c r="Q7" s="53" t="b">
        <f>AND(E7&lt;&gt;"", OR( AND(E7=A2,E7=B3,E7=C5,E7=D6), AND(E7=B3,E7=C5,E7=D6,E7=F8), AND(E7=C5,E7=D6,E7=F8,E7=G9), AND(E7=D6,E7=F8,E7=G9,E7=H10), AND(E7=F8,E7=G9,E7=H10,E7=I11), AND(E7=A11,E7=B10,E7=C9,E7=D8), AND(E7=B10,E7=C9,E7=D8,E7=F6), AND(E7=C9,E7=D8,E7=F6,E7=G5), AND(E7=D8,E7=F6,E7=G5,E7=H3), AND(E7=F6,E7=G5,E7=H3,E7=I2), AND(E7=E2,E7=E3,E7=E5,E7=E6), AND(E7=E3,E7=E5,E7=E6,E7=E8), AND(E7=E5,E7=E6,E7=E8,E7=E9), AND(E7=E6,E7=E8,E7=E9,E7=E10), AND(E7=E8,E7=E9,E7=E10,E7=E11), AND(E7=A7,E7=B7,E7=C7,E7=D7), AND(E7=B7,E7=C7,E7=D7,E7=F7), AND(E7=C7,E7=D7,E7=F7,E7=G7), AND(E7=D7,E7=F7,E7=G7,E7=H7), AND(E7=F7,E7=G7,E7=H7,E7=I7)) )</f>
        <v>0</v>
      </c>
      <c r="R7" s="53" t="b">
        <f>AND(F7&lt;&gt;"", OR( AND(F7=B2,F7=C3,F7=D5,F7=E6), AND(F7=C3,F7=D5,F7=E6,F7=G8), AND(F7=D5,F7=E6,F7=G8,F7=H9), AND(F7=E6,F7=G8,F7=H9,F7=I10), AND(F7=G8,F7=H9,F7=I10,F7=J11), AND(F7=B11,F7=C10,F7=D9,F7=E8), AND(F7=C10,F7=D9,F7=E8,F7=G6), AND(F7=D9,F7=E8,F7=G6,F7=H5), AND(F7=E8,F7=G6,F7=H5,F7=I3), AND(F7=G6,F7=H5,F7=I3,F7=J2), AND(F7=F2,F7=F3,F7=F5,F7=F6), AND(F7=F3,F7=F5,F7=F6,F7=F8), AND(F7=F5,F7=F6,F7=F8,F7=F9), AND(F7=F6,F7=F8,F7=F9,F7=F10), AND(F7=F8,F7=F9,F7=F10,F7=F11), AND(F7=B7,F7=C7,F7=D7,F7=E7), AND(F7=C7,F7=D7,F7=E7,F7=G7), AND(F7=D7,F7=E7,F7=G7,F7=H7), AND(F7=E7,F7=G7,F7=H7,F7=I7), AND(F7=G7,F7=H7,F7=I7,F7=J7)) )</f>
        <v>0</v>
      </c>
      <c r="S7" s="53" t="b">
        <f>AND(G7&lt;&gt;"", OR( AND(G7=C2,G7=D3,G7=E5,G7=F6), AND(G7=D3,G7=E5,G7=F6,G7=H8), AND(G7=E5,G7=F6,G7=H8,G7=I9), AND(G7=F6,G7=H8,G7=I9,G7=J10), AND(G7=H8,G7=I9,G7=J10,G7=K11), AND(G7=C11,G7=D10,G7=E9,G7=F8), AND(G7=D10,G7=E9,G7=F8,G7=H6), AND(G7=E9,G7=F8,G7=H6,G7=I5), AND(G7=F8,G7=H6,G7=I5,G7=J3), AND(G7=H6,G7=I5,G7=J3,G7=K2), AND(G7=G2,G7=G3,G7=G5,G7=G6), AND(G7=G3,G7=G5,G7=G6,G7=G8), AND(G7=G5,G7=G6,G7=G8,G7=G9), AND(G7=G6,G7=G8,G7=G9,G7=G10), AND(G7=G8,G7=G9,G7=G10,G7=G11), AND(G7=C7,G7=D7,G7=E7,G7=F7), AND(G7=D7,G7=E7,G7=F7,G7=H7), AND(G7=E7,G7=F7,G7=H7,G7=I7), AND(G7=F7,G7=H7,G7=I7,G7=J7), AND(G7=H7,G7=I7,G7=J7,G7=K7)) )</f>
        <v>0</v>
      </c>
      <c r="T7" s="53" t="b">
        <f>AND(H7&lt;&gt;"", OR( AND(H7=D2,H7=E3,H7=F5,H7=G6), AND(H7=E3,H7=F5,H7=G6,H7=I8), AND(H7=F5,H7=G6,H7=I8,H7=J9), AND(H7=G6,H7=I8,H7=J9,H7=K10), AND(H7=I8,H7=J9,H7=K10,H7=L11), AND(H7=D11,H7=E10,H7=F9,H7=G8), AND(H7=E10,H7=F9,H7=G8,H7=I6), AND(H7=F9,H7=G8,H7=I6,H7=J5), AND(H7=G8,H7=I6,H7=J5,H7=K3), AND(H7=I6,H7=J5,H7=K3,H7=L2), AND(H7=H2,H7=H3,H7=H5,H7=H6), AND(H7=H3,H7=H5,H7=H6,H7=H8), AND(H7=H5,H7=H6,H7=H8,H7=H9), AND(H7=H6,H7=H8,H7=H9,H7=H10), AND(H7=H8,H7=H9,H7=H10,H7=H11), AND(H7=D7,H7=E7,H7=F7,H7=G7), AND(H7=E7,H7=F7,H7=G7,H7=I7), AND(H7=F7,H7=G7,H7=I7,H7=J7), AND(H7=G7,H7=I7,H7=J7,H7=K7), AND(H7=I7,H7=J7,H7=K7,H7=L7)) )</f>
        <v>0</v>
      </c>
      <c r="U7" s="53" t="b">
        <f>AND(I7&lt;&gt;"", OR( AND(I7=E2,I7=F3,I7=G5,I7=H6), AND(I7=F3,I7=G5,I7=H6,I7=J8), AND(I7=G5,I7=H6,I7=J8,I7=K9), AND(I7=H6,I7=J8,I7=K9,I7=L10), AND(I7=J8,I7=K9,I7=L10,I7=M11), AND(I7=E11,I7=F10,I7=G9,I7=H8), AND(I7=F10,I7=G9,I7=H8,I7=J6), AND(I7=G9,I7=H8,I7=J6,I7=K5), AND(I7=H8,I7=J6,I7=K5,I7=L3), AND(I7=J6,I7=K5,I7=L3,I7=M2), AND(I7=I2,I7=I3,I7=I5,I7=I6), AND(I7=I3,I7=I5,I7=I6,I7=I8), AND(I7=I5,I7=I6,I7=I8,I7=I9), AND(I7=I6,I7=I8,I7=I9,I7=I10), AND(I7=I8,I7=I9,I7=I10,I7=I11), AND(I7=E7,I7=F7,I7=G7,I7=H7), AND(I7=F7,I7=G7,I7=H7,I7=J7), AND(I7=G7,I7=H7,I7=J7,I7=K7), AND(I7=H7,I7=J7,I7=K7,I7=L7), AND(I7=J7,I7=K7,I7=L7,I7=M7)) )</f>
        <v>0</v>
      </c>
      <c r="V7" s="53" t="b">
        <f>AND(J7&lt;&gt;"", OR( AND(J7=F2,J7=G3,J7=H5,J7=I6), AND(J7=G3,J7=H5,J7=I6,J7=K8), AND(J7=H5,J7=I6,J7=K8,J7=L9), AND(J7=I6,J7=K8,J7=L9,J7=M10), AND(J7=K8,J7=L9,J7=M10,J7=N11), AND(J7=F11,J7=G10,J7=H9,J7=I8), AND(J7=G10,J7=H9,J7=I8,J7=K6), AND(J7=H9,J7=I8,J7=K6,J7=L5), AND(J7=I8,J7=K6,J7=L5,J7=M3), AND(J7=K6,J7=L5,J7=M3,J7=N2), AND(J7=J2,J7=J3,J7=J5,J7=J6), AND(J7=J3,J7=J5,J7=J6,J7=J8), AND(J7=J5,J7=J6,J7=J8,J7=J9), AND(J7=J6,J7=J8,J7=J9,J7=J10), AND(J7=J8,J7=J9,J7=J10,J7=J11), AND(J7=F7,J7=G7,J7=H7,J7=I7), AND(J7=G7,J7=H7,J7=I7,J7=K7), AND(J7=H7,J7=I7,J7=K7,J7=L7), AND(J7=I7,J7=K7,J7=L7,J7=M7), AND(J7=K7,J7=L7,J7=M7,J7=N7)) )</f>
        <v>0</v>
      </c>
      <c r="W7" s="53" t="b">
        <f>AND(K7&lt;&gt;"", OR( AND(K7=G2,K7=H3,K7=I5,K7=J6), AND(K7=H3,K7=I5,K7=J6,K7=L8), AND(K7=I5,K7=J6,K7=L8,K7=M9), AND(K7=J6,K7=L8,K7=M9,K7=N10), AND(K7=L8,K7=M9,K7=N10,K7=P11), AND(K7=G11,K7=H10,K7=I9,K7=J8), AND(K7=H10,K7=I9,K7=J8,K7=L6), AND(K7=I9,K7=J8,K7=L6,K7=M5), AND(K7=J8,K7=L6,K7=M5,K7=N3), AND(K7=L6,K7=M5,K7=N3,K7=P2), AND(K7=K2,K7=K3,K7=K5,K7=K6), AND(K7=K3,K7=K5,K7=K6,K7=K8), AND(K7=K5,K7=K6,K7=K8,K7=K9), AND(K7=K6,K7=K8,K7=K9,K7=K10), AND(K7=K8,K7=K9,K7=K10,K7=K11), AND(K7=G7,K7=H7,K7=I7,K7=J7), AND(K7=H7,K7=I7,K7=J7,K7=L7), AND(K7=I7,K7=J7,K7=L7,K7=M7), AND(K7=J7,K7=L7,K7=M7,K7=N7), AND(K7=L7,K7=M7,K7=N7,K7=P7)) )</f>
        <v>0</v>
      </c>
      <c r="X7" s="53" t="b">
        <f>AND(L7&lt;&gt;"", OR( AND(L7=H2,L7=I3,L7=J5,L7=K6), AND(L7=I3,L7=J5,L7=K6,L7=M8), AND(L7=J5,L7=K6,L7=M8,L7=N9), AND(L7=K6,L7=M8,L7=N9,L7=P10), AND(L7=M8,L7=N9,L7=P10,L7=Q11), AND(L7=H11,L7=I10,L7=J9,L7=K8), AND(L7=I10,L7=J9,L7=K8,L7=M6), AND(L7=J9,L7=K8,L7=M6,L7=N5), AND(L7=K8,L7=M6,L7=N5,L7=P3), AND(L7=M6,L7=N5,L7=P3,L7=Q2), AND(L7=L2,L7=L3,L7=L5,L7=L6), AND(L7=L3,L7=L5,L7=L6,L7=L8), AND(L7=L5,L7=L6,L7=L8,L7=L9), AND(L7=L6,L7=L8,L7=L9,L7=L10), AND(L7=L8,L7=L9,L7=L10,L7=L11), AND(L7=H7,L7=I7,L7=J7,L7=K7), AND(L7=I7,L7=J7,L7=K7,L7=M7), AND(L7=J7,L7=K7,L7=M7,L7=N7), AND(L7=K7,L7=M7,L7=N7,L7=P7), AND(L7=M7,L7=N7,L7=P7,L7=Q7)) )</f>
        <v>0</v>
      </c>
      <c r="Y7" s="53" t="b">
        <f>AND(M7&lt;&gt;"", OR( AND(M7=I2,M7=J3,M7=K5,M7=L6), AND(M7=J3,M7=K5,M7=L6,M7=N8), AND(M7=K5,M7=L6,M7=N8,M7=P9), AND(M7=L6,M7=N8,M7=P9,M7=Q10), AND(M7=N8,M7=P9,M7=Q10,M7=R11), AND(M7=I11,M7=J10,M7=K9,M7=L8), AND(M7=J10,M7=K9,M7=L8,M7=N6), AND(M7=K9,M7=L8,M7=N6,M7=P5), AND(M7=L8,M7=N6,M7=P5,M7=Q3), AND(M7=N6,M7=P5,M7=Q3,M7=R2), AND(M7=M2,M7=M3,M7=M5,M7=M6), AND(M7=M3,M7=M5,M7=M6,M7=M8), AND(M7=M5,M7=M6,M7=M8,M7=M9), AND(M7=M6,M7=M8,M7=M9,M7=M10), AND(M7=M8,M7=M9,M7=M10,M7=M11), AND(M7=I7,M7=J7,M7=K7,M7=L7), AND(M7=J7,M7=K7,M7=L7,M7=N7), AND(M7=K7,M7=L7,M7=N7,M7=P7), AND(M7=L7,M7=N7,M7=P7,M7=Q7), AND(M7=N7,M7=P7,M7=Q7,M7=R7)) )</f>
        <v>0</v>
      </c>
      <c r="Z7" s="53" t="b">
        <f>AND(N7&lt;&gt;"", OR( AND(N7=J2,N7=K3,N7=L5,N7=M6), AND(N7=K3,N7=L5,N7=M6,N7=P8), AND(N7=L5,N7=M6,N7=P8,N7=Q9), AND(N7=M6,N7=P8,N7=Q9,N7=R10), AND(N7=P8,N7=Q9,N7=R10,N7=S11), AND(N7=J11,N7=K10,N7=L9,N7=M8), AND(N7=K10,N7=L9,N7=M8,N7=P6), AND(N7=L9,N7=M8,N7=P6,N7=Q5), AND(N7=M8,N7=P6,N7=Q5,N7=R3), AND(N7=P6,N7=Q5,N7=R3,N7=S2), AND(N7=N2,N7=N3,N7=N5,N7=N6), AND(N7=N3,N7=N5,N7=N6,N7=N8), AND(N7=N5,N7=N6,N7=N8,N7=N9), AND(N7=N6,N7=N8,N7=N9,N7=N10), AND(N7=N8,N7=N9,N7=N10,N7=N11), AND(N7=J7,N7=K7,N7=L7,N7=M7), AND(N7=K7,N7=L7,N7=M7,N7=P7), AND(N7=L7,N7=M7,N7=P7,N7=Q7), AND(N7=M7,N7=P7,N7=Q7,N7=R7), AND(N7=P7,N7=Q7,N7=R7,N7=S7)) )</f>
        <v>0</v>
      </c>
    </row>
    <row r="8" spans="4:26" ht="20" customHeight="1">
      <c r="E8" s="108"/>
      <c r="F8" s="53"/>
      <c r="G8" s="53"/>
      <c r="H8" s="53"/>
      <c r="I8" s="53"/>
      <c r="J8" s="53"/>
      <c r="K8" s="53"/>
      <c r="L8" s="53"/>
      <c r="M8" s="53"/>
      <c r="N8" s="109"/>
      <c r="Q8" s="53" t="b">
        <f>AND(E8&lt;&gt;"", OR( AND(E8=A3,E8=B5,E8=C6,E8=D7), AND(E8=B5,E8=C6,E8=D7,E8=F9), AND(E8=C6,E8=D7,E8=F9,E8=G10), AND(E8=D7,E8=F9,E8=G10,E8=H11), AND(E8=F9,E8=G10,E8=H11,E8=I12), AND(E8=A12,E8=B11,E8=C10,E8=D9), AND(E8=B11,E8=C10,E8=D9,E8=F7), AND(E8=C10,E8=D9,E8=F7,E8=G6), AND(E8=D9,E8=F7,E8=G6,E8=H5), AND(E8=F7,E8=G6,E8=H5,E8=I3), AND(E8=E3,E8=E5,E8=E6,E8=E7), AND(E8=E5,E8=E6,E8=E7,E8=E9), AND(E8=E6,E8=E7,E8=E9,E8=E10), AND(E8=E7,E8=E9,E8=E10,E8=E11), AND(E8=E9,E8=E10,E8=E11,E8=E12), AND(E8=A8,E8=B8,E8=C8,E8=D8), AND(E8=B8,E8=C8,E8=D8,E8=F8), AND(E8=C8,E8=D8,E8=F8,E8=G8), AND(E8=D8,E8=F8,E8=G8,E8=H8), AND(E8=F8,E8=G8,E8=H8,E8=I8)) )</f>
        <v>0</v>
      </c>
      <c r="R8" s="53" t="b">
        <f>AND(F8&lt;&gt;"", OR( AND(F8=B3,F8=C5,F8=D6,F8=E7), AND(F8=C5,F8=D6,F8=E7,F8=G9), AND(F8=D6,F8=E7,F8=G9,F8=H10), AND(F8=E7,F8=G9,F8=H10,F8=I11), AND(F8=G9,F8=H10,F8=I11,F8=J12), AND(F8=B12,F8=C11,F8=D10,F8=E9), AND(F8=C11,F8=D10,F8=E9,F8=G7), AND(F8=D10,F8=E9,F8=G7,F8=H6), AND(F8=E9,F8=G7,F8=H6,F8=I5), AND(F8=G7,F8=H6,F8=I5,F8=J3), AND(F8=F3,F8=F5,F8=F6,F8=F7), AND(F8=F5,F8=F6,F8=F7,F8=F9), AND(F8=F6,F8=F7,F8=F9,F8=F10), AND(F8=F7,F8=F9,F8=F10,F8=F11), AND(F8=F9,F8=F10,F8=F11,F8=F12), AND(F8=B8,F8=C8,F8=D8,F8=E8), AND(F8=C8,F8=D8,F8=E8,F8=G8), AND(F8=D8,F8=E8,F8=G8,F8=H8), AND(F8=E8,F8=G8,F8=H8,F8=I8), AND(F8=G8,F8=H8,F8=I8,F8=J8)) )</f>
        <v>0</v>
      </c>
      <c r="S8" s="53" t="b">
        <f>AND(G8&lt;&gt;"", OR( AND(G8=C3,G8=D5,G8=E6,G8=F7), AND(G8=D5,G8=E6,G8=F7,G8=H9), AND(G8=E6,G8=F7,G8=H9,G8=I10), AND(G8=F7,G8=H9,G8=I10,G8=J11), AND(G8=H9,G8=I10,G8=J11,G8=K12), AND(G8=C12,G8=D11,G8=E10,G8=F9), AND(G8=D11,G8=E10,G8=F9,G8=H7), AND(G8=E10,G8=F9,G8=H7,G8=I6), AND(G8=F9,G8=H7,G8=I6,G8=J5), AND(G8=H7,G8=I6,G8=J5,G8=K3), AND(G8=G3,G8=G5,G8=G6,G8=G7), AND(G8=G5,G8=G6,G8=G7,G8=G9), AND(G8=G6,G8=G7,G8=G9,G8=G10), AND(G8=G7,G8=G9,G8=G10,G8=G11), AND(G8=G9,G8=G10,G8=G11,G8=G12), AND(G8=C8,G8=D8,G8=E8,G8=F8), AND(G8=D8,G8=E8,G8=F8,G8=H8), AND(G8=E8,G8=F8,G8=H8,G8=I8), AND(G8=F8,G8=H8,G8=I8,G8=J8), AND(G8=H8,G8=I8,G8=J8,G8=K8)) )</f>
        <v>0</v>
      </c>
      <c r="T8" s="53" t="b">
        <f>AND(H8&lt;&gt;"", OR( AND(H8=D3,H8=E5,H8=F6,H8=G7), AND(H8=E5,H8=F6,H8=G7,H8=I9), AND(H8=F6,H8=G7,H8=I9,H8=J10), AND(H8=G7,H8=I9,H8=J10,H8=K11), AND(H8=I9,H8=J10,H8=K11,H8=L12), AND(H8=D12,H8=E11,H8=F10,H8=G9), AND(H8=E11,H8=F10,H8=G9,H8=I7), AND(H8=F10,H8=G9,H8=I7,H8=J6), AND(H8=G9,H8=I7,H8=J6,H8=K5), AND(H8=I7,H8=J6,H8=K5,H8=L3), AND(H8=H3,H8=H5,H8=H6,H8=H7), AND(H8=H5,H8=H6,H8=H7,H8=H9), AND(H8=H6,H8=H7,H8=H9,H8=H10), AND(H8=H7,H8=H9,H8=H10,H8=H11), AND(H8=H9,H8=H10,H8=H11,H8=H12), AND(H8=D8,H8=E8,H8=F8,H8=G8), AND(H8=E8,H8=F8,H8=G8,H8=I8), AND(H8=F8,H8=G8,H8=I8,H8=J8), AND(H8=G8,H8=I8,H8=J8,H8=K8), AND(H8=I8,H8=J8,H8=K8,H8=L8)) )</f>
        <v>0</v>
      </c>
      <c r="U8" s="53" t="b">
        <f>AND(I8&lt;&gt;"", OR( AND(I8=E3,I8=F5,I8=G6,I8=H7), AND(I8=F5,I8=G6,I8=H7,I8=J9), AND(I8=G6,I8=H7,I8=J9,I8=K10), AND(I8=H7,I8=J9,I8=K10,I8=L11), AND(I8=J9,I8=K10,I8=L11,I8=M12), AND(I8=E12,I8=F11,I8=G10,I8=H9), AND(I8=F11,I8=G10,I8=H9,I8=J7), AND(I8=G10,I8=H9,I8=J7,I8=K6), AND(I8=H9,I8=J7,I8=K6,I8=L5), AND(I8=J7,I8=K6,I8=L5,I8=M3), AND(I8=I3,I8=I5,I8=I6,I8=I7), AND(I8=I5,I8=I6,I8=I7,I8=I9), AND(I8=I6,I8=I7,I8=I9,I8=I10), AND(I8=I7,I8=I9,I8=I10,I8=I11), AND(I8=I9,I8=I10,I8=I11,I8=I12), AND(I8=E8,I8=F8,I8=G8,I8=H8), AND(I8=F8,I8=G8,I8=H8,I8=J8), AND(I8=G8,I8=H8,I8=J8,I8=K8), AND(I8=H8,I8=J8,I8=K8,I8=L8), AND(I8=J8,I8=K8,I8=L8,I8=M8)) )</f>
        <v>0</v>
      </c>
      <c r="V8" s="53" t="b">
        <f>AND(J8&lt;&gt;"", OR( AND(J8=F3,J8=G5,J8=H6,J8=I7), AND(J8=G5,J8=H6,J8=I7,J8=K9), AND(J8=H6,J8=I7,J8=K9,J8=L10), AND(J8=I7,J8=K9,J8=L10,J8=M11), AND(J8=K9,J8=L10,J8=M11,J8=N12), AND(J8=F12,J8=G11,J8=H10,J8=I9), AND(J8=G11,J8=H10,J8=I9,J8=K7), AND(J8=H10,J8=I9,J8=K7,J8=L6), AND(J8=I9,J8=K7,J8=L6,J8=M5), AND(J8=K7,J8=L6,J8=M5,J8=N3), AND(J8=J3,J8=J5,J8=J6,J8=J7), AND(J8=J5,J8=J6,J8=J7,J8=J9), AND(J8=J6,J8=J7,J8=J9,J8=J10), AND(J8=J7,J8=J9,J8=J10,J8=J11), AND(J8=J9,J8=J10,J8=J11,J8=J12), AND(J8=F8,J8=G8,J8=H8,J8=I8), AND(J8=G8,J8=H8,J8=I8,J8=K8), AND(J8=H8,J8=I8,J8=K8,J8=L8), AND(J8=I8,J8=K8,J8=L8,J8=M8), AND(J8=K8,J8=L8,J8=M8,J8=N8)) )</f>
        <v>0</v>
      </c>
      <c r="W8" s="53" t="b">
        <f>AND(K8&lt;&gt;"", OR( AND(K8=G3,K8=H5,K8=I6,K8=J7), AND(K8=H5,K8=I6,K8=J7,K8=L9), AND(K8=I6,K8=J7,K8=L9,K8=M10), AND(K8=J7,K8=L9,K8=M10,K8=N11), AND(K8=L9,K8=M10,K8=N11,K8=P12), AND(K8=G12,K8=H11,K8=I10,K8=J9), AND(K8=H11,K8=I10,K8=J9,K8=L7), AND(K8=I10,K8=J9,K8=L7,K8=M6), AND(K8=J9,K8=L7,K8=M6,K8=N5), AND(K8=L7,K8=M6,K8=N5,K8=P3), AND(K8=K3,K8=K5,K8=K6,K8=K7), AND(K8=K5,K8=K6,K8=K7,K8=K9), AND(K8=K6,K8=K7,K8=K9,K8=K10), AND(K8=K7,K8=K9,K8=K10,K8=K11), AND(K8=K9,K8=K10,K8=K11,K8=K12), AND(K8=G8,K8=H8,K8=I8,K8=J8), AND(K8=H8,K8=I8,K8=J8,K8=L8), AND(K8=I8,K8=J8,K8=L8,K8=M8), AND(K8=J8,K8=L8,K8=M8,K8=N8), AND(K8=L8,K8=M8,K8=N8,K8=P8)) )</f>
        <v>0</v>
      </c>
      <c r="X8" s="53" t="b">
        <f>AND(L8&lt;&gt;"", OR( AND(L8=H3,L8=I5,L8=J6,L8=K7), AND(L8=I5,L8=J6,L8=K7,L8=M9), AND(L8=J6,L8=K7,L8=M9,L8=N10), AND(L8=K7,L8=M9,L8=N10,L8=P11), AND(L8=M9,L8=N10,L8=P11,L8=Q12), AND(L8=H12,L8=I11,L8=J10,L8=K9), AND(L8=I11,L8=J10,L8=K9,L8=M7), AND(L8=J10,L8=K9,L8=M7,L8=N6), AND(L8=K9,L8=M7,L8=N6,L8=P5), AND(L8=M7,L8=N6,L8=P5,L8=Q3), AND(L8=L3,L8=L5,L8=L6,L8=L7), AND(L8=L5,L8=L6,L8=L7,L8=L9), AND(L8=L6,L8=L7,L8=L9,L8=L10), AND(L8=L7,L8=L9,L8=L10,L8=L11), AND(L8=L9,L8=L10,L8=L11,L8=L12), AND(L8=H8,L8=I8,L8=J8,L8=K8), AND(L8=I8,L8=J8,L8=K8,L8=M8), AND(L8=J8,L8=K8,L8=M8,L8=N8), AND(L8=K8,L8=M8,L8=N8,L8=P8), AND(L8=M8,L8=N8,L8=P8,L8=Q8)) )</f>
        <v>0</v>
      </c>
      <c r="Y8" s="53" t="b">
        <f>AND(M8&lt;&gt;"", OR( AND(M8=I3,M8=J5,M8=K6,M8=L7), AND(M8=J5,M8=K6,M8=L7,M8=N9), AND(M8=K6,M8=L7,M8=N9,M8=P10), AND(M8=L7,M8=N9,M8=P10,M8=Q11), AND(M8=N9,M8=P10,M8=Q11,M8=R12), AND(M8=I12,M8=J11,M8=K10,M8=L9), AND(M8=J11,M8=K10,M8=L9,M8=N7), AND(M8=K10,M8=L9,M8=N7,M8=P6), AND(M8=L9,M8=N7,M8=P6,M8=Q5), AND(M8=N7,M8=P6,M8=Q5,M8=R3), AND(M8=M3,M8=M5,M8=M6,M8=M7), AND(M8=M5,M8=M6,M8=M7,M8=M9), AND(M8=M6,M8=M7,M8=M9,M8=M10), AND(M8=M7,M8=M9,M8=M10,M8=M11), AND(M8=M9,M8=M10,M8=M11,M8=M12), AND(M8=I8,M8=J8,M8=K8,M8=L8), AND(M8=J8,M8=K8,M8=L8,M8=N8), AND(M8=K8,M8=L8,M8=N8,M8=P8), AND(M8=L8,M8=N8,M8=P8,M8=Q8), AND(M8=N8,M8=P8,M8=Q8,M8=R8)) )</f>
        <v>0</v>
      </c>
      <c r="Z8" s="53" t="b">
        <f>AND(N8&lt;&gt;"", OR( AND(N8=J3,N8=K5,N8=L6,N8=M7), AND(N8=K5,N8=L6,N8=M7,N8=P9), AND(N8=L6,N8=M7,N8=P9,N8=Q10), AND(N8=M7,N8=P9,N8=Q10,N8=R11), AND(N8=P9,N8=Q10,N8=R11,N8=S12), AND(N8=J12,N8=K11,N8=L10,N8=M9), AND(N8=K11,N8=L10,N8=M9,N8=P7), AND(N8=L10,N8=M9,N8=P7,N8=Q6), AND(N8=M9,N8=P7,N8=Q6,N8=R5), AND(N8=P7,N8=Q6,N8=R5,N8=S3), AND(N8=N3,N8=N5,N8=N6,N8=N7), AND(N8=N5,N8=N6,N8=N7,N8=N9), AND(N8=N6,N8=N7,N8=N9,N8=N10), AND(N8=N7,N8=N9,N8=N10,N8=N11), AND(N8=N9,N8=N10,N8=N11,N8=N12), AND(N8=J8,N8=K8,N8=L8,N8=M8), AND(N8=K8,N8=L8,N8=M8,N8=P8), AND(N8=L8,N8=M8,N8=P8,N8=Q8), AND(N8=M8,N8=P8,N8=Q8,N8=R8), AND(N8=P8,N8=Q8,N8=R8,N8=S8)) )</f>
        <v>0</v>
      </c>
    </row>
    <row r="9" spans="4:26" ht="20" customHeight="1">
      <c r="E9" s="108"/>
      <c r="F9" s="53"/>
      <c r="G9" s="53"/>
      <c r="H9" s="53"/>
      <c r="I9" s="53"/>
      <c r="J9" s="53"/>
      <c r="K9" s="53"/>
      <c r="L9" s="53"/>
      <c r="M9" s="53"/>
      <c r="N9" s="109"/>
      <c r="Q9" s="53" t="b">
        <f t="shared" ref="Q9:Q20" si="1">AND(E9&lt;&gt;"", OR( AND(E9=A5,E9=B6,E9=C7,E9=D8), AND(E9=B6,E9=C7,E9=D8,E9=F10), AND(E9=C7,E9=D8,E9=F10,E9=G11), AND(E9=D8,E9=F10,E9=G11,E9=H12), AND(E9=F10,E9=G11,E9=H12,E9=I13), AND(E9=A13,E9=B12,E9=C11,E9=D10), AND(E9=B12,E9=C11,E9=D10,E9=F8), AND(E9=C11,E9=D10,E9=F8,E9=G7), AND(E9=D10,E9=F8,E9=G7,E9=H6), AND(E9=F8,E9=G7,E9=H6,E9=I5), AND(E9=E5,E9=E6,E9=E7,E9=E8), AND(E9=E6,E9=E7,E9=E8,E9=E10), AND(E9=E7,E9=E8,E9=E10,E9=E11), AND(E9=E8,E9=E10,E9=E11,E9=E12), AND(E9=E10,E9=E11,E9=E12,E9=E13), AND(E9=A9,E9=B9,E9=C9,E9=D9), AND(E9=B9,E9=C9,E9=D9,E9=F9), AND(E9=C9,E9=D9,E9=F9,E9=G9), AND(E9=D9,E9=F9,E9=G9,E9=H9), AND(E9=F9,E9=G9,E9=H9,E9=I9)) )</f>
        <v>0</v>
      </c>
      <c r="R9" s="53" t="b">
        <f t="shared" ref="R9:R20" si="2">AND(F9&lt;&gt;"", OR( AND(F9=B5,F9=C6,F9=D7,F9=E8), AND(F9=C6,F9=D7,F9=E8,F9=G10), AND(F9=D7,F9=E8,F9=G10,F9=H11), AND(F9=E8,F9=G10,F9=H11,F9=I12), AND(F9=G10,F9=H11,F9=I12,F9=J13), AND(F9=B13,F9=C12,F9=D11,F9=E10), AND(F9=C12,F9=D11,F9=E10,F9=G8), AND(F9=D11,F9=E10,F9=G8,F9=H7), AND(F9=E10,F9=G8,F9=H7,F9=I6), AND(F9=G8,F9=H7,F9=I6,F9=J5), AND(F9=F5,F9=F6,F9=F7,F9=F8), AND(F9=F6,F9=F7,F9=F8,F9=F10), AND(F9=F7,F9=F8,F9=F10,F9=F11), AND(F9=F8,F9=F10,F9=F11,F9=F12), AND(F9=F10,F9=F11,F9=F12,F9=F13), AND(F9=B9,F9=C9,F9=D9,F9=E9), AND(F9=C9,F9=D9,F9=E9,F9=G9), AND(F9=D9,F9=E9,F9=G9,F9=H9), AND(F9=E9,F9=G9,F9=H9,F9=I9), AND(F9=G9,F9=H9,F9=I9,F9=J9)) )</f>
        <v>0</v>
      </c>
      <c r="S9" s="53" t="b">
        <f t="shared" ref="S9:S20" si="3">AND(G9&lt;&gt;"", OR( AND(G9=C5,G9=D6,G9=E7,G9=F8), AND(G9=D6,G9=E7,G9=F8,G9=H10), AND(G9=E7,G9=F8,G9=H10,G9=I11), AND(G9=F8,G9=H10,G9=I11,G9=J12), AND(G9=H10,G9=I11,G9=J12,G9=K13), AND(G9=C13,G9=D12,G9=E11,G9=F10), AND(G9=D12,G9=E11,G9=F10,G9=H8), AND(G9=E11,G9=F10,G9=H8,G9=I7), AND(G9=F10,G9=H8,G9=I7,G9=J6), AND(G9=H8,G9=I7,G9=J6,G9=K5), AND(G9=G5,G9=G6,G9=G7,G9=G8), AND(G9=G6,G9=G7,G9=G8,G9=G10), AND(G9=G7,G9=G8,G9=G10,G9=G11), AND(G9=G8,G9=G10,G9=G11,G9=G12), AND(G9=G10,G9=G11,G9=G12,G9=G13), AND(G9=C9,G9=D9,G9=E9,G9=F9), AND(G9=D9,G9=E9,G9=F9,G9=H9), AND(G9=E9,G9=F9,G9=H9,G9=I9), AND(G9=F9,G9=H9,G9=I9,G9=J9), AND(G9=H9,G9=I9,G9=J9,G9=K9)) )</f>
        <v>0</v>
      </c>
      <c r="T9" s="53" t="b">
        <f t="shared" ref="T9:T20" si="4">AND(H9&lt;&gt;"", OR( AND(H9=D5,H9=E6,H9=F7,H9=G8), AND(H9=E6,H9=F7,H9=G8,H9=I10), AND(H9=F7,H9=G8,H9=I10,H9=J11), AND(H9=G8,H9=I10,H9=J11,H9=K12), AND(H9=I10,H9=J11,H9=K12,H9=L13), AND(H9=D13,H9=E12,H9=F11,H9=G10), AND(H9=E12,H9=F11,H9=G10,H9=I8), AND(H9=F11,H9=G10,H9=I8,H9=J7), AND(H9=G10,H9=I8,H9=J7,H9=K6), AND(H9=I8,H9=J7,H9=K6,H9=L5), AND(H9=H5,H9=H6,H9=H7,H9=H8), AND(H9=H6,H9=H7,H9=H8,H9=H10), AND(H9=H7,H9=H8,H9=H10,H9=H11), AND(H9=H8,H9=H10,H9=H11,H9=H12), AND(H9=H10,H9=H11,H9=H12,H9=H13), AND(H9=D9,H9=E9,H9=F9,H9=G9), AND(H9=E9,H9=F9,H9=G9,H9=I9), AND(H9=F9,H9=G9,H9=I9,H9=J9), AND(H9=G9,H9=I9,H9=J9,H9=K9), AND(H9=I9,H9=J9,H9=K9,H9=L9)) )</f>
        <v>0</v>
      </c>
      <c r="U9" s="53" t="b">
        <f t="shared" ref="U9:U20" si="5">AND(I9&lt;&gt;"", OR( AND(I9=E5,I9=F6,I9=G7,I9=H8), AND(I9=F6,I9=G7,I9=H8,I9=J10), AND(I9=G7,I9=H8,I9=J10,I9=K11), AND(I9=H8,I9=J10,I9=K11,I9=L12), AND(I9=J10,I9=K11,I9=L12,I9=M13), AND(I9=E13,I9=F12,I9=G11,I9=H10), AND(I9=F12,I9=G11,I9=H10,I9=J8), AND(I9=G11,I9=H10,I9=J8,I9=K7), AND(I9=H10,I9=J8,I9=K7,I9=L6), AND(I9=J8,I9=K7,I9=L6,I9=M5), AND(I9=I5,I9=I6,I9=I7,I9=I8), AND(I9=I6,I9=I7,I9=I8,I9=I10), AND(I9=I7,I9=I8,I9=I10,I9=I11), AND(I9=I8,I9=I10,I9=I11,I9=I12), AND(I9=I10,I9=I11,I9=I12,I9=I13), AND(I9=E9,I9=F9,I9=G9,I9=H9), AND(I9=F9,I9=G9,I9=H9,I9=J9), AND(I9=G9,I9=H9,I9=J9,I9=K9), AND(I9=H9,I9=J9,I9=K9,I9=L9), AND(I9=J9,I9=K9,I9=L9,I9=M9)) )</f>
        <v>0</v>
      </c>
      <c r="V9" s="53" t="b">
        <f t="shared" ref="V9:V20" si="6">AND(J9&lt;&gt;"", OR( AND(J9=F5,J9=G6,J9=H7,J9=I8), AND(J9=G6,J9=H7,J9=I8,J9=K10), AND(J9=H7,J9=I8,J9=K10,J9=L11), AND(J9=I8,J9=K10,J9=L11,J9=M12), AND(J9=K10,J9=L11,J9=M12,J9=N13), AND(J9=F13,J9=G12,J9=H11,J9=I10), AND(J9=G12,J9=H11,J9=I10,J9=K8), AND(J9=H11,J9=I10,J9=K8,J9=L7), AND(J9=I10,J9=K8,J9=L7,J9=M6), AND(J9=K8,J9=L7,J9=M6,J9=N5), AND(J9=J5,J9=J6,J9=J7,J9=J8), AND(J9=J6,J9=J7,J9=J8,J9=J10), AND(J9=J7,J9=J8,J9=J10,J9=J11), AND(J9=J8,J9=J10,J9=J11,J9=J12), AND(J9=J10,J9=J11,J9=J12,J9=J13), AND(J9=F9,J9=G9,J9=H9,J9=I9), AND(J9=G9,J9=H9,J9=I9,J9=K9), AND(J9=H9,J9=I9,J9=K9,J9=L9), AND(J9=I9,J9=K9,J9=L9,J9=M9), AND(J9=K9,J9=L9,J9=M9,J9=N9)) )</f>
        <v>0</v>
      </c>
      <c r="W9" s="53" t="b">
        <f t="shared" ref="W9:W20" si="7">AND(K9&lt;&gt;"", OR( AND(K9=G5,K9=H6,K9=I7,K9=J8), AND(K9=H6,K9=I7,K9=J8,K9=L10), AND(K9=I7,K9=J8,K9=L10,K9=M11), AND(K9=J8,K9=L10,K9=M11,K9=N12), AND(K9=L10,K9=M11,K9=N12,K9=P13), AND(K9=G13,K9=H12,K9=I11,K9=J10), AND(K9=H12,K9=I11,K9=J10,K9=L8), AND(K9=I11,K9=J10,K9=L8,K9=M7), AND(K9=J10,K9=L8,K9=M7,K9=N6), AND(K9=L8,K9=M7,K9=N6,K9=P5), AND(K9=K5,K9=K6,K9=K7,K9=K8), AND(K9=K6,K9=K7,K9=K8,K9=K10), AND(K9=K7,K9=K8,K9=K10,K9=K11), AND(K9=K8,K9=K10,K9=K11,K9=K12), AND(K9=K10,K9=K11,K9=K12,K9=K13), AND(K9=G9,K9=H9,K9=I9,K9=J9), AND(K9=H9,K9=I9,K9=J9,K9=L9), AND(K9=I9,K9=J9,K9=L9,K9=M9), AND(K9=J9,K9=L9,K9=M9,K9=N9), AND(K9=L9,K9=M9,K9=N9,K9=P9)) )</f>
        <v>0</v>
      </c>
      <c r="X9" s="53" t="b">
        <f t="shared" ref="X9:X20" si="8">AND(L9&lt;&gt;"", OR( AND(L9=H5,L9=I6,L9=J7,L9=K8), AND(L9=I6,L9=J7,L9=K8,L9=M10), AND(L9=J7,L9=K8,L9=M10,L9=N11), AND(L9=K8,L9=M10,L9=N11,L9=P12), AND(L9=M10,L9=N11,L9=P12,L9=Q13), AND(L9=H13,L9=I12,L9=J11,L9=K10), AND(L9=I12,L9=J11,L9=K10,L9=M8), AND(L9=J11,L9=K10,L9=M8,L9=N7), AND(L9=K10,L9=M8,L9=N7,L9=P6), AND(L9=M8,L9=N7,L9=P6,L9=Q5), AND(L9=L5,L9=L6,L9=L7,L9=L8), AND(L9=L6,L9=L7,L9=L8,L9=L10), AND(L9=L7,L9=L8,L9=L10,L9=L11), AND(L9=L8,L9=L10,L9=L11,L9=L12), AND(L9=L10,L9=L11,L9=L12,L9=L13), AND(L9=H9,L9=I9,L9=J9,L9=K9), AND(L9=I9,L9=J9,L9=K9,L9=M9), AND(L9=J9,L9=K9,L9=M9,L9=N9), AND(L9=K9,L9=M9,L9=N9,L9=P9), AND(L9=M9,L9=N9,L9=P9,L9=Q9)) )</f>
        <v>0</v>
      </c>
      <c r="Y9" s="53" t="b">
        <f t="shared" ref="Y9:Y20" si="9">AND(M9&lt;&gt;"", OR( AND(M9=I5,M9=J6,M9=K7,M9=L8), AND(M9=J6,M9=K7,M9=L8,M9=N10), AND(M9=K7,M9=L8,M9=N10,M9=P11), AND(M9=L8,M9=N10,M9=P11,M9=Q12), AND(M9=N10,M9=P11,M9=Q12,M9=R13), AND(M9=I13,M9=J12,M9=K11,M9=L10), AND(M9=J12,M9=K11,M9=L10,M9=N8), AND(M9=K11,M9=L10,M9=N8,M9=P7), AND(M9=L10,M9=N8,M9=P7,M9=Q6), AND(M9=N8,M9=P7,M9=Q6,M9=R5), AND(M9=M5,M9=M6,M9=M7,M9=M8), AND(M9=M6,M9=M7,M9=M8,M9=M10), AND(M9=M7,M9=M8,M9=M10,M9=M11), AND(M9=M8,M9=M10,M9=M11,M9=M12), AND(M9=M10,M9=M11,M9=M12,M9=M13), AND(M9=I9,M9=J9,M9=K9,M9=L9), AND(M9=J9,M9=K9,M9=L9,M9=N9), AND(M9=K9,M9=L9,M9=N9,M9=P9), AND(M9=L9,M9=N9,M9=P9,M9=Q9), AND(M9=N9,M9=P9,M9=Q9,M9=R9)) )</f>
        <v>0</v>
      </c>
      <c r="Z9" s="53" t="b">
        <f t="shared" ref="Z9:Z20" si="10">AND(N9&lt;&gt;"", OR( AND(N9=J5,N9=K6,N9=L7,N9=M8), AND(N9=K6,N9=L7,N9=M8,N9=P10), AND(N9=L7,N9=M8,N9=P10,N9=Q11), AND(N9=M8,N9=P10,N9=Q11,N9=R12), AND(N9=P10,N9=Q11,N9=R12,N9=S13), AND(N9=J13,N9=K12,N9=L11,N9=M10), AND(N9=K12,N9=L11,N9=M10,N9=P8), AND(N9=L11,N9=M10,N9=P8,N9=Q7), AND(N9=M10,N9=P8,N9=Q7,N9=R6), AND(N9=P8,N9=Q7,N9=R6,N9=S5), AND(N9=N5,N9=N6,N9=N7,N9=N8), AND(N9=N6,N9=N7,N9=N8,N9=N10), AND(N9=N7,N9=N8,N9=N10,N9=N11), AND(N9=N8,N9=N10,N9=N11,N9=N12), AND(N9=N10,N9=N11,N9=N12,N9=N13), AND(N9=J9,N9=K9,N9=L9,N9=M9), AND(N9=K9,N9=L9,N9=M9,N9=P9), AND(N9=L9,N9=M9,N9=P9,N9=Q9), AND(N9=M9,N9=P9,N9=Q9,N9=R9), AND(N9=P9,N9=Q9,N9=R9,N9=S9)) )</f>
        <v>0</v>
      </c>
    </row>
    <row r="10" spans="4:26" ht="20" customHeight="1">
      <c r="E10" s="108"/>
      <c r="F10" s="53"/>
      <c r="G10" s="53"/>
      <c r="H10" s="53"/>
      <c r="I10" s="53"/>
      <c r="J10" s="53"/>
      <c r="K10" s="53"/>
      <c r="L10" s="53"/>
      <c r="M10" s="53"/>
      <c r="N10" s="109"/>
      <c r="Q10" s="53" t="b">
        <f t="shared" si="1"/>
        <v>0</v>
      </c>
      <c r="R10" s="53" t="b">
        <f t="shared" si="2"/>
        <v>0</v>
      </c>
      <c r="S10" s="53" t="b">
        <f t="shared" si="3"/>
        <v>0</v>
      </c>
      <c r="T10" s="53" t="b">
        <f t="shared" si="4"/>
        <v>0</v>
      </c>
      <c r="U10" s="53" t="b">
        <f t="shared" si="5"/>
        <v>0</v>
      </c>
      <c r="V10" s="53" t="b">
        <f t="shared" si="6"/>
        <v>0</v>
      </c>
      <c r="W10" s="53" t="b">
        <f t="shared" si="7"/>
        <v>0</v>
      </c>
      <c r="X10" s="53" t="b">
        <f t="shared" si="8"/>
        <v>0</v>
      </c>
      <c r="Y10" s="53" t="b">
        <f t="shared" si="9"/>
        <v>0</v>
      </c>
      <c r="Z10" s="53" t="b">
        <f t="shared" si="10"/>
        <v>0</v>
      </c>
    </row>
    <row r="11" spans="4:26" ht="20" customHeight="1">
      <c r="E11" s="108"/>
      <c r="F11" s="53"/>
      <c r="G11" s="53"/>
      <c r="H11" s="53"/>
      <c r="I11" s="53"/>
      <c r="J11" s="53"/>
      <c r="K11" s="53"/>
      <c r="L11" s="53"/>
      <c r="M11" s="53"/>
      <c r="N11" s="109"/>
      <c r="Q11" s="53" t="b">
        <f t="shared" si="1"/>
        <v>0</v>
      </c>
      <c r="R11" s="53" t="b">
        <f t="shared" si="2"/>
        <v>0</v>
      </c>
      <c r="S11" s="53" t="b">
        <f t="shared" si="3"/>
        <v>0</v>
      </c>
      <c r="T11" s="53" t="b">
        <f t="shared" si="4"/>
        <v>0</v>
      </c>
      <c r="U11" s="53" t="b">
        <f t="shared" si="5"/>
        <v>0</v>
      </c>
      <c r="V11" s="53" t="b">
        <f t="shared" si="6"/>
        <v>0</v>
      </c>
      <c r="W11" s="53" t="b">
        <f t="shared" si="7"/>
        <v>0</v>
      </c>
      <c r="X11" s="53" t="b">
        <f t="shared" si="8"/>
        <v>0</v>
      </c>
      <c r="Y11" s="53" t="b">
        <f t="shared" si="9"/>
        <v>0</v>
      </c>
      <c r="Z11" s="53" t="b">
        <f t="shared" si="10"/>
        <v>0</v>
      </c>
    </row>
    <row r="12" spans="4:26" ht="20" customHeight="1">
      <c r="E12" s="108"/>
      <c r="F12" s="53"/>
      <c r="G12" s="53"/>
      <c r="H12" s="53"/>
      <c r="I12" s="53"/>
      <c r="J12" s="53"/>
      <c r="K12" s="53"/>
      <c r="L12" s="53"/>
      <c r="M12" s="53"/>
      <c r="N12" s="109"/>
      <c r="Q12" s="53" t="b">
        <f t="shared" si="1"/>
        <v>0</v>
      </c>
      <c r="R12" s="53" t="b">
        <f t="shared" si="2"/>
        <v>0</v>
      </c>
      <c r="S12" s="53" t="b">
        <f t="shared" si="3"/>
        <v>0</v>
      </c>
      <c r="T12" s="53" t="b">
        <f t="shared" si="4"/>
        <v>0</v>
      </c>
      <c r="U12" s="53" t="b">
        <f t="shared" si="5"/>
        <v>0</v>
      </c>
      <c r="V12" s="53" t="b">
        <f t="shared" si="6"/>
        <v>0</v>
      </c>
      <c r="W12" s="53" t="b">
        <f t="shared" si="7"/>
        <v>0</v>
      </c>
      <c r="X12" s="53" t="b">
        <f t="shared" si="8"/>
        <v>0</v>
      </c>
      <c r="Y12" s="53" t="b">
        <f t="shared" si="9"/>
        <v>0</v>
      </c>
      <c r="Z12" s="53" t="b">
        <f t="shared" si="10"/>
        <v>0</v>
      </c>
    </row>
    <row r="13" spans="4:26" ht="20" customHeight="1">
      <c r="E13" s="108"/>
      <c r="F13" s="53"/>
      <c r="G13" s="53"/>
      <c r="H13" s="53"/>
      <c r="I13" s="53"/>
      <c r="J13" s="53"/>
      <c r="K13" s="53"/>
      <c r="L13" s="53"/>
      <c r="M13" s="53"/>
      <c r="N13" s="109"/>
      <c r="Q13" s="53" t="b">
        <f t="shared" si="1"/>
        <v>0</v>
      </c>
      <c r="R13" s="53" t="b">
        <f t="shared" si="2"/>
        <v>0</v>
      </c>
      <c r="S13" s="53" t="b">
        <f t="shared" si="3"/>
        <v>0</v>
      </c>
      <c r="T13" s="53" t="b">
        <f t="shared" si="4"/>
        <v>0</v>
      </c>
      <c r="U13" s="53" t="b">
        <f t="shared" si="5"/>
        <v>0</v>
      </c>
      <c r="V13" s="53" t="b">
        <f t="shared" si="6"/>
        <v>0</v>
      </c>
      <c r="W13" s="53" t="b">
        <f t="shared" si="7"/>
        <v>0</v>
      </c>
      <c r="X13" s="53" t="b">
        <f t="shared" si="8"/>
        <v>0</v>
      </c>
      <c r="Y13" s="53" t="b">
        <f t="shared" si="9"/>
        <v>0</v>
      </c>
      <c r="Z13" s="53" t="b">
        <f t="shared" si="10"/>
        <v>0</v>
      </c>
    </row>
    <row r="14" spans="4:26" ht="20" customHeight="1">
      <c r="E14" s="108"/>
      <c r="F14" s="53"/>
      <c r="G14" s="53"/>
      <c r="H14" s="53"/>
      <c r="I14" s="53"/>
      <c r="J14" s="53"/>
      <c r="K14" s="53"/>
      <c r="L14" s="53"/>
      <c r="M14" s="53"/>
      <c r="N14" s="109"/>
      <c r="Q14" s="53" t="b">
        <f t="shared" si="1"/>
        <v>0</v>
      </c>
      <c r="R14" s="53" t="b">
        <f t="shared" si="2"/>
        <v>0</v>
      </c>
      <c r="S14" s="53" t="b">
        <f t="shared" si="3"/>
        <v>0</v>
      </c>
      <c r="T14" s="53" t="b">
        <f t="shared" si="4"/>
        <v>0</v>
      </c>
      <c r="U14" s="53" t="b">
        <f t="shared" si="5"/>
        <v>0</v>
      </c>
      <c r="V14" s="53" t="b">
        <f t="shared" si="6"/>
        <v>0</v>
      </c>
      <c r="W14" s="53" t="b">
        <f t="shared" si="7"/>
        <v>0</v>
      </c>
      <c r="X14" s="53" t="b">
        <f t="shared" si="8"/>
        <v>0</v>
      </c>
      <c r="Y14" s="53" t="b">
        <f t="shared" si="9"/>
        <v>0</v>
      </c>
      <c r="Z14" s="53" t="b">
        <f t="shared" si="10"/>
        <v>0</v>
      </c>
    </row>
    <row r="15" spans="4:26" ht="20" customHeight="1">
      <c r="E15" s="108"/>
      <c r="F15" s="53"/>
      <c r="G15" s="53"/>
      <c r="H15" s="53"/>
      <c r="I15" s="53"/>
      <c r="J15" s="53"/>
      <c r="K15" s="53"/>
      <c r="L15" s="53"/>
      <c r="M15" s="53"/>
      <c r="N15" s="109"/>
      <c r="Q15" s="53" t="b">
        <f t="shared" si="1"/>
        <v>0</v>
      </c>
      <c r="R15" s="53" t="b">
        <f t="shared" si="2"/>
        <v>0</v>
      </c>
      <c r="S15" s="53" t="b">
        <f t="shared" si="3"/>
        <v>0</v>
      </c>
      <c r="T15" s="53" t="b">
        <f t="shared" si="4"/>
        <v>0</v>
      </c>
      <c r="U15" s="53" t="b">
        <f t="shared" si="5"/>
        <v>0</v>
      </c>
      <c r="V15" s="53" t="b">
        <f t="shared" si="6"/>
        <v>0</v>
      </c>
      <c r="W15" s="53" t="b">
        <f t="shared" si="7"/>
        <v>0</v>
      </c>
      <c r="X15" s="53" t="b">
        <f t="shared" si="8"/>
        <v>0</v>
      </c>
      <c r="Y15" s="53" t="b">
        <f t="shared" si="9"/>
        <v>0</v>
      </c>
      <c r="Z15" s="53" t="b">
        <f t="shared" si="10"/>
        <v>0</v>
      </c>
    </row>
    <row r="16" spans="4:26" ht="20" customHeight="1">
      <c r="E16" s="108"/>
      <c r="F16" s="53"/>
      <c r="G16" s="53"/>
      <c r="H16" s="53"/>
      <c r="I16" s="53"/>
      <c r="J16" s="53"/>
      <c r="K16" s="53"/>
      <c r="L16" s="53"/>
      <c r="M16" s="53"/>
      <c r="N16" s="109"/>
      <c r="Q16" s="53" t="b">
        <f t="shared" si="1"/>
        <v>0</v>
      </c>
      <c r="R16" s="53" t="b">
        <f t="shared" si="2"/>
        <v>0</v>
      </c>
      <c r="S16" s="53" t="b">
        <f t="shared" si="3"/>
        <v>0</v>
      </c>
      <c r="T16" s="53" t="b">
        <f t="shared" si="4"/>
        <v>0</v>
      </c>
      <c r="U16" s="53" t="b">
        <f t="shared" si="5"/>
        <v>0</v>
      </c>
      <c r="V16" s="53" t="b">
        <f t="shared" si="6"/>
        <v>0</v>
      </c>
      <c r="W16" s="53" t="b">
        <f t="shared" si="7"/>
        <v>0</v>
      </c>
      <c r="X16" s="53" t="b">
        <f t="shared" si="8"/>
        <v>0</v>
      </c>
      <c r="Y16" s="53" t="b">
        <f t="shared" si="9"/>
        <v>0</v>
      </c>
      <c r="Z16" s="53" t="b">
        <f t="shared" si="10"/>
        <v>0</v>
      </c>
    </row>
    <row r="17" spans="5:26" ht="20" customHeight="1">
      <c r="E17" s="108"/>
      <c r="F17" s="53"/>
      <c r="G17" s="53"/>
      <c r="H17" s="53"/>
      <c r="I17" s="53"/>
      <c r="J17" s="53"/>
      <c r="K17" s="53"/>
      <c r="L17" s="53"/>
      <c r="M17" s="53"/>
      <c r="N17" s="109"/>
      <c r="Q17" s="53" t="b">
        <f t="shared" si="1"/>
        <v>0</v>
      </c>
      <c r="R17" s="53" t="b">
        <f t="shared" si="2"/>
        <v>0</v>
      </c>
      <c r="S17" s="53" t="b">
        <f t="shared" si="3"/>
        <v>0</v>
      </c>
      <c r="T17" s="53" t="b">
        <f t="shared" si="4"/>
        <v>0</v>
      </c>
      <c r="U17" s="53" t="b">
        <f t="shared" si="5"/>
        <v>0</v>
      </c>
      <c r="V17" s="53" t="b">
        <f t="shared" si="6"/>
        <v>0</v>
      </c>
      <c r="W17" s="53" t="b">
        <f t="shared" si="7"/>
        <v>0</v>
      </c>
      <c r="X17" s="53" t="b">
        <f t="shared" si="8"/>
        <v>0</v>
      </c>
      <c r="Y17" s="53" t="b">
        <f t="shared" si="9"/>
        <v>0</v>
      </c>
      <c r="Z17" s="53" t="b">
        <f t="shared" si="10"/>
        <v>0</v>
      </c>
    </row>
    <row r="18" spans="5:26" ht="20" customHeight="1">
      <c r="E18" s="108"/>
      <c r="F18" s="53"/>
      <c r="G18" s="53"/>
      <c r="H18" s="53"/>
      <c r="I18" s="53"/>
      <c r="J18" s="53"/>
      <c r="K18" s="53"/>
      <c r="L18" s="53"/>
      <c r="M18" s="53"/>
      <c r="N18" s="109"/>
      <c r="Q18" s="53" t="b">
        <f t="shared" si="1"/>
        <v>0</v>
      </c>
      <c r="R18" s="53" t="b">
        <f t="shared" si="2"/>
        <v>0</v>
      </c>
      <c r="S18" s="53" t="b">
        <f t="shared" si="3"/>
        <v>0</v>
      </c>
      <c r="T18" s="53" t="b">
        <f t="shared" si="4"/>
        <v>0</v>
      </c>
      <c r="U18" s="53" t="b">
        <f t="shared" si="5"/>
        <v>0</v>
      </c>
      <c r="V18" s="53" t="b">
        <f t="shared" si="6"/>
        <v>0</v>
      </c>
      <c r="W18" s="53" t="b">
        <f t="shared" si="7"/>
        <v>0</v>
      </c>
      <c r="X18" s="53" t="b">
        <f t="shared" si="8"/>
        <v>0</v>
      </c>
      <c r="Y18" s="53" t="b">
        <f t="shared" si="9"/>
        <v>0</v>
      </c>
      <c r="Z18" s="53" t="b">
        <f t="shared" si="10"/>
        <v>0</v>
      </c>
    </row>
    <row r="19" spans="5:26" ht="20" customHeight="1">
      <c r="E19" s="108"/>
      <c r="F19" s="53"/>
      <c r="G19" s="53"/>
      <c r="H19" s="53"/>
      <c r="I19" s="53"/>
      <c r="J19" s="53"/>
      <c r="K19" s="53"/>
      <c r="L19" s="53"/>
      <c r="M19" s="53"/>
      <c r="N19" s="109"/>
      <c r="Q19" s="53" t="b">
        <f t="shared" si="1"/>
        <v>0</v>
      </c>
      <c r="R19" s="53" t="b">
        <f t="shared" si="2"/>
        <v>0</v>
      </c>
      <c r="S19" s="53" t="b">
        <f t="shared" si="3"/>
        <v>0</v>
      </c>
      <c r="T19" s="53" t="b">
        <f t="shared" si="4"/>
        <v>0</v>
      </c>
      <c r="U19" s="53" t="b">
        <f t="shared" si="5"/>
        <v>0</v>
      </c>
      <c r="V19" s="53" t="b">
        <f t="shared" si="6"/>
        <v>0</v>
      </c>
      <c r="W19" s="53" t="b">
        <f t="shared" si="7"/>
        <v>0</v>
      </c>
      <c r="X19" s="53" t="b">
        <f t="shared" si="8"/>
        <v>0</v>
      </c>
      <c r="Y19" s="53" t="b">
        <f t="shared" si="9"/>
        <v>0</v>
      </c>
      <c r="Z19" s="53" t="b">
        <f t="shared" si="10"/>
        <v>0</v>
      </c>
    </row>
    <row r="20" spans="5:26" ht="20" customHeight="1" thickBot="1">
      <c r="E20" s="110"/>
      <c r="F20" s="111"/>
      <c r="G20" s="111"/>
      <c r="H20" s="111"/>
      <c r="I20" s="111"/>
      <c r="J20" s="111"/>
      <c r="K20" s="111"/>
      <c r="L20" s="111"/>
      <c r="M20" s="111"/>
      <c r="N20" s="112"/>
      <c r="Q20" s="53" t="b">
        <f t="shared" si="1"/>
        <v>0</v>
      </c>
      <c r="R20" s="53" t="b">
        <f t="shared" si="2"/>
        <v>0</v>
      </c>
      <c r="S20" s="53" t="b">
        <f t="shared" si="3"/>
        <v>0</v>
      </c>
      <c r="T20" s="53" t="b">
        <f t="shared" si="4"/>
        <v>0</v>
      </c>
      <c r="U20" s="53" t="b">
        <f t="shared" si="5"/>
        <v>0</v>
      </c>
      <c r="V20" s="53" t="b">
        <f t="shared" si="6"/>
        <v>0</v>
      </c>
      <c r="W20" s="53" t="b">
        <f t="shared" si="7"/>
        <v>0</v>
      </c>
      <c r="X20" s="53" t="b">
        <f t="shared" si="8"/>
        <v>0</v>
      </c>
      <c r="Y20" s="53" t="b">
        <f t="shared" si="9"/>
        <v>0</v>
      </c>
      <c r="Z20" s="53" t="b">
        <f t="shared" si="10"/>
        <v>0</v>
      </c>
    </row>
    <row r="27" spans="5:26" ht="20" customHeight="1" thickBot="1"/>
    <row r="28" spans="5:26" ht="20" customHeight="1" thickTop="1" thickBot="1">
      <c r="E28" s="56">
        <v>1</v>
      </c>
      <c r="F28" s="56">
        <v>2</v>
      </c>
      <c r="G28" s="54" t="s">
        <v>2</v>
      </c>
      <c r="H28" s="55">
        <v>1</v>
      </c>
      <c r="I28" s="55">
        <v>2</v>
      </c>
      <c r="J28" s="55">
        <v>5</v>
      </c>
      <c r="K28" s="54" t="s">
        <v>20</v>
      </c>
      <c r="L28" s="56">
        <f>$E28*H$28+$F28*H$29</f>
        <v>7</v>
      </c>
      <c r="M28" s="56">
        <f>$E28*I$28+$F28*I$29</f>
        <v>10</v>
      </c>
      <c r="N28" s="56">
        <f>$E28*J$28+$F28*J$29</f>
        <v>17</v>
      </c>
    </row>
    <row r="29" spans="5:26" ht="20" customHeight="1" thickTop="1" thickBot="1">
      <c r="E29" s="56">
        <v>3</v>
      </c>
      <c r="F29" s="56">
        <v>4</v>
      </c>
      <c r="H29" s="55">
        <v>3</v>
      </c>
      <c r="I29" s="55">
        <v>4</v>
      </c>
      <c r="J29" s="55">
        <v>6</v>
      </c>
      <c r="L29" s="56">
        <f t="shared" ref="L29:L30" si="11">$E29*H$28+$F29*H$29</f>
        <v>15</v>
      </c>
      <c r="M29" s="56">
        <f t="shared" ref="M29:M30" si="12">$E29*I$28+$F29*I$29</f>
        <v>22</v>
      </c>
      <c r="N29" s="56">
        <f t="shared" ref="N29:N30" si="13">$E29*J$28+$F29*J$29</f>
        <v>39</v>
      </c>
    </row>
    <row r="30" spans="5:26" ht="20" customHeight="1" thickTop="1" thickBot="1">
      <c r="E30" s="56">
        <v>5</v>
      </c>
      <c r="F30" s="56">
        <v>6</v>
      </c>
      <c r="L30" s="56">
        <f t="shared" si="11"/>
        <v>23</v>
      </c>
      <c r="M30" s="56">
        <f t="shared" si="12"/>
        <v>34</v>
      </c>
      <c r="N30" s="56">
        <f t="shared" si="13"/>
        <v>61</v>
      </c>
    </row>
    <row r="31" spans="5:26" ht="20" customHeight="1" thickTop="1"/>
  </sheetData>
  <mergeCells count="1">
    <mergeCell ref="D3:O3"/>
  </mergeCells>
  <conditionalFormatting sqref="W21:AC21 AA6:AC20 AA22:AC27">
    <cfRule type="cellIs" dxfId="48" priority="21" operator="equal">
      <formula>TRUE</formula>
    </cfRule>
  </conditionalFormatting>
  <conditionalFormatting sqref="C6">
    <cfRule type="cellIs" dxfId="47" priority="20" operator="equal">
      <formula>TRUE</formula>
    </cfRule>
  </conditionalFormatting>
  <conditionalFormatting sqref="Q6:Z20">
    <cfRule type="cellIs" dxfId="46" priority="19" operator="equal">
      <formula>TRUE</formula>
    </cfRule>
  </conditionalFormatting>
  <conditionalFormatting sqref="Q22:Z36">
    <cfRule type="cellIs" dxfId="45" priority="18" operator="equal">
      <formula>TRUE</formula>
    </cfRule>
  </conditionalFormatting>
  <conditionalFormatting sqref="I2">
    <cfRule type="expression" dxfId="44" priority="8">
      <formula>"AND(E5&lt;&gt;"""" , OR( AND(AND(E5=A1,E5=B2),AND(E5=C3,E5=D4)), AND(AND(E5=B2,E5=C3),AND(E5=D4,E5=F6)), AND(AND(E5=C3,E5=D4),AND(E5=F6,E5=G7)), AND(AND(E5=D4,E5=F6),AND(E5=G7,E5=H8)), AND(AND(E5=F6,E5=G7),AND(E5=H8,E5=I9)), AND(AND(E5=A9,E5=B8),AND(E5=C7,E5=D6))"</formula>
    </cfRule>
  </conditionalFormatting>
  <conditionalFormatting sqref="F7:O20">
    <cfRule type="expression" dxfId="43" priority="5">
      <formula>"AND(E5&lt;&gt;"""" , OR( AND(AND(E5=A1,E5=B2),AND(E5=C3,E5=D4)), AND(AND(E5=B2,E5=C3),AND(E5=D4,E5=F6)), AND(AND(E5=C3,E5=D4),AND(E5=F6,E5=G7)), AND(AND(E5=D4,E5=F6),AND(E5=G7,E5=H8)), AND(AND(E5=F6,E5=G7),AND(E5=H8,E5=I9)), AND(AND(E5=A9,E5=B8),AND(E5=C7,E5=D6))"</formula>
    </cfRule>
  </conditionalFormatting>
  <conditionalFormatting sqref="E6:O20">
    <cfRule type="expression" dxfId="42" priority="1">
      <formula>AND(Q6=TRUE,Q6)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4B60-EE82-534C-BF32-9C7806856896}">
  <sheetPr codeName="Sheet8"/>
  <dimension ref="A1:Y46"/>
  <sheetViews>
    <sheetView topLeftCell="A38" zoomScale="87" zoomScaleNormal="108" workbookViewId="0">
      <selection activeCell="B46" sqref="B46:N46"/>
    </sheetView>
  </sheetViews>
  <sheetFormatPr baseColWidth="10" defaultRowHeight="21"/>
  <cols>
    <col min="1" max="2" width="10.83203125" style="3"/>
    <col min="3" max="3" width="12.83203125" style="3" bestFit="1" customWidth="1"/>
    <col min="4" max="4" width="12.83203125" style="3" customWidth="1"/>
    <col min="5" max="25" width="10.83203125" style="1" customWidth="1"/>
    <col min="26" max="16384" width="10.83203125" style="3"/>
  </cols>
  <sheetData>
    <row r="1" spans="3:25" ht="24" thickBot="1">
      <c r="C1" s="81" t="s">
        <v>5</v>
      </c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</row>
    <row r="2" spans="3:25" ht="22" thickTop="1"/>
    <row r="4" spans="3:25" ht="21" customHeight="1">
      <c r="E4" s="82" t="s">
        <v>4</v>
      </c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</row>
    <row r="5" spans="3:25">
      <c r="C5" s="13">
        <v>0.12</v>
      </c>
      <c r="D5" s="13"/>
      <c r="E5" s="2">
        <v>0</v>
      </c>
      <c r="F5" s="2">
        <f>E5+0.5</f>
        <v>0.5</v>
      </c>
      <c r="G5" s="2">
        <f t="shared" ref="G5" si="0">F5+1</f>
        <v>1.5</v>
      </c>
      <c r="H5" s="2">
        <f t="shared" ref="H5" si="1">G5+1</f>
        <v>2.5</v>
      </c>
      <c r="I5" s="2">
        <f t="shared" ref="I5" si="2">H5+1</f>
        <v>3.5</v>
      </c>
      <c r="J5" s="2">
        <f t="shared" ref="J5" si="3">I5+1</f>
        <v>4.5</v>
      </c>
      <c r="K5" s="2">
        <f t="shared" ref="K5" si="4">J5+1</f>
        <v>5.5</v>
      </c>
      <c r="L5" s="2">
        <f t="shared" ref="L5" si="5">K5+1</f>
        <v>6.5</v>
      </c>
      <c r="M5" s="2">
        <f t="shared" ref="M5" si="6">L5+1</f>
        <v>7.5</v>
      </c>
      <c r="N5" s="2">
        <f t="shared" ref="N5" si="7">M5+1</f>
        <v>8.5</v>
      </c>
      <c r="O5" s="2">
        <f t="shared" ref="O5" si="8">N5+1</f>
        <v>9.5</v>
      </c>
      <c r="P5" s="2">
        <f t="shared" ref="P5" si="9">O5+1</f>
        <v>10.5</v>
      </c>
      <c r="Q5" s="2">
        <f t="shared" ref="Q5" si="10">P5+1</f>
        <v>11.5</v>
      </c>
      <c r="R5" s="2">
        <f t="shared" ref="R5" si="11">Q5+1</f>
        <v>12.5</v>
      </c>
      <c r="S5" s="2">
        <f t="shared" ref="S5" si="12">R5+1</f>
        <v>13.5</v>
      </c>
      <c r="T5" s="2">
        <f t="shared" ref="T5" si="13">S5+1</f>
        <v>14.5</v>
      </c>
      <c r="U5" s="2">
        <f t="shared" ref="U5" si="14">T5+1</f>
        <v>15.5</v>
      </c>
      <c r="V5" s="2">
        <f t="shared" ref="V5" si="15">U5+1</f>
        <v>16.5</v>
      </c>
      <c r="W5" s="2">
        <f t="shared" ref="W5" si="16">V5+1</f>
        <v>17.5</v>
      </c>
      <c r="X5" s="2">
        <f t="shared" ref="X5" si="17">W5+1</f>
        <v>18.5</v>
      </c>
      <c r="Y5" s="2">
        <f t="shared" ref="Y5" si="18">X5+1</f>
        <v>19.5</v>
      </c>
    </row>
    <row r="6" spans="3:25">
      <c r="C6" s="13">
        <v>0.12</v>
      </c>
      <c r="D6" s="3" t="s">
        <v>7</v>
      </c>
      <c r="E6" s="14">
        <v>100</v>
      </c>
      <c r="F6" s="14">
        <f xml:space="preserve"> $C6*E6 + E6</f>
        <v>112</v>
      </c>
      <c r="G6" s="14">
        <f t="shared" ref="G6:W6" si="19" xml:space="preserve"> $C6*F6 + F6</f>
        <v>125.44</v>
      </c>
      <c r="H6" s="14">
        <f t="shared" si="19"/>
        <v>140.49279999999999</v>
      </c>
      <c r="I6" s="14">
        <f t="shared" si="19"/>
        <v>157.35193599999999</v>
      </c>
      <c r="J6" s="14">
        <f t="shared" si="19"/>
        <v>176.23416831999998</v>
      </c>
      <c r="K6" s="14">
        <f t="shared" si="19"/>
        <v>197.38226851839997</v>
      </c>
      <c r="L6" s="14">
        <f t="shared" si="19"/>
        <v>221.06814074060796</v>
      </c>
      <c r="M6" s="14">
        <f t="shared" si="19"/>
        <v>247.59631762948092</v>
      </c>
      <c r="N6" s="14">
        <f t="shared" si="19"/>
        <v>277.30787574501863</v>
      </c>
      <c r="O6" s="14">
        <f t="shared" si="19"/>
        <v>310.58482083442084</v>
      </c>
      <c r="P6" s="14">
        <f t="shared" si="19"/>
        <v>347.85499933455134</v>
      </c>
      <c r="Q6" s="14">
        <f t="shared" si="19"/>
        <v>389.59759925469751</v>
      </c>
      <c r="R6" s="14">
        <f t="shared" si="19"/>
        <v>436.34931116526121</v>
      </c>
      <c r="S6" s="14">
        <f t="shared" si="19"/>
        <v>488.71122850509255</v>
      </c>
      <c r="T6" s="14">
        <f t="shared" si="19"/>
        <v>547.35657592570362</v>
      </c>
      <c r="U6" s="14">
        <f t="shared" si="19"/>
        <v>613.03936503678801</v>
      </c>
      <c r="V6" s="14">
        <f t="shared" si="19"/>
        <v>686.60408884120261</v>
      </c>
      <c r="W6" s="14">
        <f t="shared" si="19"/>
        <v>768.99657950214691</v>
      </c>
      <c r="X6" s="14">
        <f t="shared" ref="X6" si="20">W6*(1+ $C6)</f>
        <v>861.2761690424046</v>
      </c>
      <c r="Y6" s="14">
        <f t="shared" ref="Y6" si="21">X6*(1+ $C6)</f>
        <v>964.62930932749327</v>
      </c>
    </row>
    <row r="7" spans="3:25">
      <c r="C7" s="13">
        <v>0.12</v>
      </c>
      <c r="D7" s="3" t="s">
        <v>8</v>
      </c>
      <c r="E7" s="15">
        <v>100</v>
      </c>
      <c r="F7" s="15">
        <f t="shared" ref="F7:Y7" si="22">$C$7*$E$7+E$7</f>
        <v>112</v>
      </c>
      <c r="G7" s="15">
        <f>$C$7*$E$7+F$7</f>
        <v>124</v>
      </c>
      <c r="H7" s="15">
        <f>$C$7*$E$7+G$7</f>
        <v>136</v>
      </c>
      <c r="I7" s="15">
        <f t="shared" si="22"/>
        <v>148</v>
      </c>
      <c r="J7" s="15">
        <f t="shared" si="22"/>
        <v>160</v>
      </c>
      <c r="K7" s="15">
        <f t="shared" si="22"/>
        <v>172</v>
      </c>
      <c r="L7" s="15">
        <f t="shared" si="22"/>
        <v>184</v>
      </c>
      <c r="M7" s="15">
        <f t="shared" si="22"/>
        <v>196</v>
      </c>
      <c r="N7" s="15">
        <f t="shared" si="22"/>
        <v>208</v>
      </c>
      <c r="O7" s="15">
        <f t="shared" si="22"/>
        <v>220</v>
      </c>
      <c r="P7" s="15">
        <f t="shared" si="22"/>
        <v>232</v>
      </c>
      <c r="Q7" s="16">
        <f t="shared" si="22"/>
        <v>244</v>
      </c>
      <c r="R7" s="15">
        <f t="shared" si="22"/>
        <v>256</v>
      </c>
      <c r="S7" s="15">
        <f t="shared" si="22"/>
        <v>268</v>
      </c>
      <c r="T7" s="15">
        <f t="shared" si="22"/>
        <v>280</v>
      </c>
      <c r="U7" s="15">
        <f t="shared" si="22"/>
        <v>292</v>
      </c>
      <c r="V7" s="15">
        <f t="shared" si="22"/>
        <v>304</v>
      </c>
      <c r="W7" s="15">
        <f t="shared" si="22"/>
        <v>316</v>
      </c>
      <c r="X7" s="15">
        <f t="shared" si="22"/>
        <v>328</v>
      </c>
      <c r="Y7" s="15">
        <f t="shared" si="22"/>
        <v>340</v>
      </c>
    </row>
    <row r="29" spans="4:16" ht="23">
      <c r="E29" s="83" t="s">
        <v>9</v>
      </c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</row>
    <row r="30" spans="4:16">
      <c r="D30" s="3">
        <v>1</v>
      </c>
      <c r="E30" s="1">
        <f>D30+1</f>
        <v>2</v>
      </c>
      <c r="F30" s="1">
        <f t="shared" ref="F30:P30" si="23">E30+1</f>
        <v>3</v>
      </c>
      <c r="G30" s="1">
        <f t="shared" si="23"/>
        <v>4</v>
      </c>
      <c r="H30" s="1">
        <f t="shared" si="23"/>
        <v>5</v>
      </c>
      <c r="I30" s="1">
        <f t="shared" si="23"/>
        <v>6</v>
      </c>
      <c r="J30" s="1">
        <f t="shared" si="23"/>
        <v>7</v>
      </c>
      <c r="K30" s="1">
        <f t="shared" si="23"/>
        <v>8</v>
      </c>
      <c r="L30" s="1">
        <f t="shared" si="23"/>
        <v>9</v>
      </c>
      <c r="M30" s="1">
        <f t="shared" si="23"/>
        <v>10</v>
      </c>
      <c r="N30" s="1">
        <f t="shared" si="23"/>
        <v>11</v>
      </c>
      <c r="O30" s="1">
        <f t="shared" si="23"/>
        <v>12</v>
      </c>
      <c r="P30" s="1">
        <f t="shared" si="23"/>
        <v>13</v>
      </c>
    </row>
    <row r="31" spans="4:16">
      <c r="D31" s="17">
        <f>D30+1</f>
        <v>2</v>
      </c>
      <c r="E31" s="18">
        <f>$D31/E$30</f>
        <v>1</v>
      </c>
      <c r="F31" s="18">
        <f t="shared" ref="F31:P42" si="24">$D31/F$30</f>
        <v>0.66666666666666663</v>
      </c>
      <c r="G31" s="18">
        <f t="shared" si="24"/>
        <v>0.5</v>
      </c>
      <c r="H31" s="18">
        <f t="shared" si="24"/>
        <v>0.4</v>
      </c>
      <c r="I31" s="18">
        <f t="shared" si="24"/>
        <v>0.33333333333333331</v>
      </c>
      <c r="J31" s="18">
        <f t="shared" si="24"/>
        <v>0.2857142857142857</v>
      </c>
      <c r="K31" s="18">
        <f t="shared" si="24"/>
        <v>0.25</v>
      </c>
      <c r="L31" s="18">
        <f t="shared" si="24"/>
        <v>0.22222222222222221</v>
      </c>
      <c r="M31" s="18">
        <f t="shared" si="24"/>
        <v>0.2</v>
      </c>
      <c r="N31" s="18">
        <f t="shared" si="24"/>
        <v>0.18181818181818182</v>
      </c>
      <c r="O31" s="18">
        <f t="shared" si="24"/>
        <v>0.16666666666666666</v>
      </c>
      <c r="P31" s="18">
        <f t="shared" si="24"/>
        <v>0.15384615384615385</v>
      </c>
    </row>
    <row r="32" spans="4:16">
      <c r="D32" s="17">
        <f t="shared" ref="D32:D42" si="25">D31+1</f>
        <v>3</v>
      </c>
      <c r="E32" s="18">
        <f t="shared" ref="E32:E42" si="26">$D32/E$30</f>
        <v>1.5</v>
      </c>
      <c r="F32" s="18">
        <f t="shared" si="24"/>
        <v>1</v>
      </c>
      <c r="G32" s="18">
        <f t="shared" si="24"/>
        <v>0.75</v>
      </c>
      <c r="H32" s="18">
        <f t="shared" si="24"/>
        <v>0.6</v>
      </c>
      <c r="I32" s="18">
        <f t="shared" si="24"/>
        <v>0.5</v>
      </c>
      <c r="J32" s="18">
        <f t="shared" si="24"/>
        <v>0.42857142857142855</v>
      </c>
      <c r="K32" s="18">
        <f t="shared" si="24"/>
        <v>0.375</v>
      </c>
      <c r="L32" s="18">
        <f t="shared" si="24"/>
        <v>0.33333333333333331</v>
      </c>
      <c r="M32" s="18">
        <f t="shared" si="24"/>
        <v>0.3</v>
      </c>
      <c r="N32" s="18">
        <f t="shared" si="24"/>
        <v>0.27272727272727271</v>
      </c>
      <c r="O32" s="18">
        <f t="shared" si="24"/>
        <v>0.25</v>
      </c>
      <c r="P32" s="18">
        <f t="shared" si="24"/>
        <v>0.23076923076923078</v>
      </c>
    </row>
    <row r="33" spans="1:16">
      <c r="D33" s="17">
        <f t="shared" si="25"/>
        <v>4</v>
      </c>
      <c r="E33" s="18">
        <f t="shared" si="26"/>
        <v>2</v>
      </c>
      <c r="F33" s="18">
        <f t="shared" si="24"/>
        <v>1.3333333333333333</v>
      </c>
      <c r="G33" s="18">
        <f t="shared" si="24"/>
        <v>1</v>
      </c>
      <c r="H33" s="18">
        <f t="shared" si="24"/>
        <v>0.8</v>
      </c>
      <c r="I33" s="18">
        <f t="shared" si="24"/>
        <v>0.66666666666666663</v>
      </c>
      <c r="J33" s="18">
        <f t="shared" si="24"/>
        <v>0.5714285714285714</v>
      </c>
      <c r="K33" s="18">
        <f t="shared" si="24"/>
        <v>0.5</v>
      </c>
      <c r="L33" s="18">
        <f t="shared" si="24"/>
        <v>0.44444444444444442</v>
      </c>
      <c r="M33" s="18">
        <f t="shared" si="24"/>
        <v>0.4</v>
      </c>
      <c r="N33" s="18">
        <f t="shared" si="24"/>
        <v>0.36363636363636365</v>
      </c>
      <c r="O33" s="18">
        <f t="shared" si="24"/>
        <v>0.33333333333333331</v>
      </c>
      <c r="P33" s="18">
        <f t="shared" si="24"/>
        <v>0.30769230769230771</v>
      </c>
    </row>
    <row r="34" spans="1:16">
      <c r="D34" s="17">
        <f t="shared" si="25"/>
        <v>5</v>
      </c>
      <c r="E34" s="18">
        <f t="shared" si="26"/>
        <v>2.5</v>
      </c>
      <c r="F34" s="18">
        <f t="shared" si="24"/>
        <v>1.6666666666666667</v>
      </c>
      <c r="G34" s="18">
        <f t="shared" si="24"/>
        <v>1.25</v>
      </c>
      <c r="H34" s="18">
        <f>K46</f>
        <v>81</v>
      </c>
      <c r="I34" s="18">
        <f t="shared" si="24"/>
        <v>0.83333333333333337</v>
      </c>
      <c r="J34" s="18">
        <f t="shared" si="24"/>
        <v>0.7142857142857143</v>
      </c>
      <c r="K34" s="18">
        <f t="shared" si="24"/>
        <v>0.625</v>
      </c>
      <c r="L34" s="18">
        <f t="shared" si="24"/>
        <v>0.55555555555555558</v>
      </c>
      <c r="M34" s="18">
        <f t="shared" si="24"/>
        <v>0.5</v>
      </c>
      <c r="N34" s="18">
        <f t="shared" si="24"/>
        <v>0.45454545454545453</v>
      </c>
      <c r="O34" s="18">
        <f t="shared" si="24"/>
        <v>0.41666666666666669</v>
      </c>
      <c r="P34" s="18">
        <f t="shared" si="24"/>
        <v>0.38461538461538464</v>
      </c>
    </row>
    <row r="35" spans="1:16">
      <c r="D35" s="17">
        <f t="shared" si="25"/>
        <v>6</v>
      </c>
      <c r="E35" s="18">
        <f t="shared" si="26"/>
        <v>3</v>
      </c>
      <c r="F35" s="18">
        <f t="shared" si="24"/>
        <v>2</v>
      </c>
      <c r="G35" s="18">
        <f t="shared" si="24"/>
        <v>1.5</v>
      </c>
      <c r="H35" s="18">
        <f t="shared" si="24"/>
        <v>1.2</v>
      </c>
      <c r="I35" s="18">
        <f t="shared" si="24"/>
        <v>1</v>
      </c>
      <c r="J35" s="18">
        <f t="shared" si="24"/>
        <v>0.8571428571428571</v>
      </c>
      <c r="K35" s="18">
        <f t="shared" si="24"/>
        <v>0.75</v>
      </c>
      <c r="L35" s="18">
        <f t="shared" si="24"/>
        <v>0.66666666666666663</v>
      </c>
      <c r="M35" s="18">
        <f t="shared" si="24"/>
        <v>0.6</v>
      </c>
      <c r="N35" s="18">
        <f t="shared" si="24"/>
        <v>0.54545454545454541</v>
      </c>
      <c r="O35" s="18">
        <f t="shared" si="24"/>
        <v>0.5</v>
      </c>
      <c r="P35" s="18">
        <f t="shared" si="24"/>
        <v>0.46153846153846156</v>
      </c>
    </row>
    <row r="36" spans="1:16">
      <c r="D36" s="17">
        <f t="shared" si="25"/>
        <v>7</v>
      </c>
      <c r="E36" s="18">
        <f t="shared" si="26"/>
        <v>3.5</v>
      </c>
      <c r="F36" s="18">
        <f t="shared" si="24"/>
        <v>2.3333333333333335</v>
      </c>
      <c r="G36" s="18">
        <f t="shared" si="24"/>
        <v>1.75</v>
      </c>
      <c r="H36" s="18">
        <f t="shared" si="24"/>
        <v>1.4</v>
      </c>
      <c r="I36" s="18">
        <f t="shared" si="24"/>
        <v>1.1666666666666667</v>
      </c>
      <c r="J36" s="18">
        <f t="shared" si="24"/>
        <v>1</v>
      </c>
      <c r="K36" s="18">
        <f t="shared" si="24"/>
        <v>0.875</v>
      </c>
      <c r="L36" s="18">
        <f t="shared" si="24"/>
        <v>0.77777777777777779</v>
      </c>
      <c r="M36" s="18">
        <f t="shared" si="24"/>
        <v>0.7</v>
      </c>
      <c r="N36" s="18">
        <f t="shared" si="24"/>
        <v>0.63636363636363635</v>
      </c>
      <c r="O36" s="18">
        <f t="shared" si="24"/>
        <v>0.58333333333333337</v>
      </c>
      <c r="P36" s="18">
        <f t="shared" si="24"/>
        <v>0.53846153846153844</v>
      </c>
    </row>
    <row r="37" spans="1:16">
      <c r="D37" s="17">
        <f t="shared" si="25"/>
        <v>8</v>
      </c>
      <c r="E37" s="18">
        <f t="shared" si="26"/>
        <v>4</v>
      </c>
      <c r="F37" s="18">
        <f t="shared" si="24"/>
        <v>2.6666666666666665</v>
      </c>
      <c r="G37" s="18">
        <f t="shared" si="24"/>
        <v>2</v>
      </c>
      <c r="H37" s="18">
        <f t="shared" si="24"/>
        <v>1.6</v>
      </c>
      <c r="I37" s="18">
        <f t="shared" si="24"/>
        <v>1.3333333333333333</v>
      </c>
      <c r="J37" s="18">
        <f t="shared" si="24"/>
        <v>1.1428571428571428</v>
      </c>
      <c r="K37" s="18">
        <f t="shared" si="24"/>
        <v>1</v>
      </c>
      <c r="L37" s="18">
        <f t="shared" si="24"/>
        <v>0.88888888888888884</v>
      </c>
      <c r="M37" s="18">
        <f t="shared" si="24"/>
        <v>0.8</v>
      </c>
      <c r="N37" s="18">
        <f t="shared" si="24"/>
        <v>0.72727272727272729</v>
      </c>
      <c r="O37" s="18">
        <f t="shared" si="24"/>
        <v>0.66666666666666663</v>
      </c>
      <c r="P37" s="18">
        <f t="shared" si="24"/>
        <v>0.61538461538461542</v>
      </c>
    </row>
    <row r="38" spans="1:16">
      <c r="D38" s="17">
        <f t="shared" si="25"/>
        <v>9</v>
      </c>
      <c r="E38" s="18">
        <f t="shared" si="26"/>
        <v>4.5</v>
      </c>
      <c r="F38" s="18">
        <f t="shared" si="24"/>
        <v>3</v>
      </c>
      <c r="G38" s="18">
        <f t="shared" si="24"/>
        <v>2.25</v>
      </c>
      <c r="H38" s="18">
        <f t="shared" si="24"/>
        <v>1.8</v>
      </c>
      <c r="I38" s="18">
        <f t="shared" si="24"/>
        <v>1.5</v>
      </c>
      <c r="J38" s="18">
        <f t="shared" si="24"/>
        <v>1.2857142857142858</v>
      </c>
      <c r="K38" s="18">
        <f t="shared" si="24"/>
        <v>1.125</v>
      </c>
      <c r="L38" s="18">
        <f t="shared" si="24"/>
        <v>1</v>
      </c>
      <c r="M38" s="18">
        <f t="shared" si="24"/>
        <v>0.9</v>
      </c>
      <c r="N38" s="18">
        <f t="shared" si="24"/>
        <v>0.81818181818181823</v>
      </c>
      <c r="O38" s="18">
        <f t="shared" si="24"/>
        <v>0.75</v>
      </c>
      <c r="P38" s="18">
        <f t="shared" si="24"/>
        <v>0.69230769230769229</v>
      </c>
    </row>
    <row r="39" spans="1:16">
      <c r="D39" s="17">
        <f t="shared" si="25"/>
        <v>10</v>
      </c>
      <c r="E39" s="18">
        <f t="shared" si="26"/>
        <v>5</v>
      </c>
      <c r="F39" s="18">
        <f t="shared" si="24"/>
        <v>3.3333333333333335</v>
      </c>
      <c r="G39" s="18">
        <f t="shared" si="24"/>
        <v>2.5</v>
      </c>
      <c r="H39" s="18">
        <f t="shared" si="24"/>
        <v>2</v>
      </c>
      <c r="I39" s="18">
        <f t="shared" si="24"/>
        <v>1.6666666666666667</v>
      </c>
      <c r="J39" s="18">
        <f t="shared" si="24"/>
        <v>1.4285714285714286</v>
      </c>
      <c r="K39" s="18">
        <f t="shared" si="24"/>
        <v>1.25</v>
      </c>
      <c r="L39" s="18">
        <f t="shared" si="24"/>
        <v>1.1111111111111112</v>
      </c>
      <c r="M39" s="18">
        <f t="shared" si="24"/>
        <v>1</v>
      </c>
      <c r="N39" s="18">
        <f t="shared" si="24"/>
        <v>0.90909090909090906</v>
      </c>
      <c r="O39" s="18">
        <f t="shared" si="24"/>
        <v>0.83333333333333337</v>
      </c>
      <c r="P39" s="18">
        <f t="shared" si="24"/>
        <v>0.76923076923076927</v>
      </c>
    </row>
    <row r="40" spans="1:16">
      <c r="D40" s="17">
        <f t="shared" si="25"/>
        <v>11</v>
      </c>
      <c r="E40" s="18">
        <f t="shared" si="26"/>
        <v>5.5</v>
      </c>
      <c r="F40" s="18">
        <f t="shared" si="24"/>
        <v>3.6666666666666665</v>
      </c>
      <c r="G40" s="18">
        <f t="shared" si="24"/>
        <v>2.75</v>
      </c>
      <c r="H40" s="18">
        <f t="shared" si="24"/>
        <v>2.2000000000000002</v>
      </c>
      <c r="I40" s="18">
        <f t="shared" si="24"/>
        <v>1.8333333333333333</v>
      </c>
      <c r="J40" s="18">
        <f t="shared" si="24"/>
        <v>1.5714285714285714</v>
      </c>
      <c r="K40" s="18">
        <f t="shared" si="24"/>
        <v>1.375</v>
      </c>
      <c r="L40" s="18">
        <f t="shared" si="24"/>
        <v>1.2222222222222223</v>
      </c>
      <c r="M40" s="18">
        <f t="shared" si="24"/>
        <v>1.1000000000000001</v>
      </c>
      <c r="N40" s="18">
        <f t="shared" si="24"/>
        <v>1</v>
      </c>
      <c r="O40" s="18">
        <f t="shared" si="24"/>
        <v>0.91666666666666663</v>
      </c>
      <c r="P40" s="18">
        <f t="shared" si="24"/>
        <v>0.84615384615384615</v>
      </c>
    </row>
    <row r="41" spans="1:16">
      <c r="D41" s="17">
        <f t="shared" si="25"/>
        <v>12</v>
      </c>
      <c r="E41" s="18">
        <f t="shared" si="26"/>
        <v>6</v>
      </c>
      <c r="F41" s="18">
        <f t="shared" si="24"/>
        <v>4</v>
      </c>
      <c r="G41" s="18">
        <f t="shared" si="24"/>
        <v>3</v>
      </c>
      <c r="H41" s="18">
        <f t="shared" si="24"/>
        <v>2.4</v>
      </c>
      <c r="I41" s="18">
        <f t="shared" si="24"/>
        <v>2</v>
      </c>
      <c r="J41" s="18">
        <f t="shared" si="24"/>
        <v>1.7142857142857142</v>
      </c>
      <c r="K41" s="18">
        <f t="shared" si="24"/>
        <v>1.5</v>
      </c>
      <c r="L41" s="18">
        <f t="shared" si="24"/>
        <v>1.3333333333333333</v>
      </c>
      <c r="M41" s="18">
        <f t="shared" si="24"/>
        <v>1.2</v>
      </c>
      <c r="N41" s="18">
        <f t="shared" si="24"/>
        <v>1.0909090909090908</v>
      </c>
      <c r="O41" s="18">
        <f t="shared" si="24"/>
        <v>1</v>
      </c>
      <c r="P41" s="18">
        <f t="shared" si="24"/>
        <v>0.92307692307692313</v>
      </c>
    </row>
    <row r="42" spans="1:16">
      <c r="D42" s="17">
        <f t="shared" si="25"/>
        <v>13</v>
      </c>
      <c r="E42" s="18">
        <f t="shared" si="26"/>
        <v>6.5</v>
      </c>
      <c r="F42" s="18">
        <f t="shared" si="24"/>
        <v>4.333333333333333</v>
      </c>
      <c r="G42" s="18">
        <f t="shared" si="24"/>
        <v>3.25</v>
      </c>
      <c r="H42" s="18">
        <f t="shared" si="24"/>
        <v>2.6</v>
      </c>
      <c r="I42" s="18">
        <f t="shared" si="24"/>
        <v>2.1666666666666665</v>
      </c>
      <c r="J42" s="18">
        <f t="shared" si="24"/>
        <v>1.8571428571428572</v>
      </c>
      <c r="K42" s="18">
        <f t="shared" si="24"/>
        <v>1.625</v>
      </c>
      <c r="L42" s="18">
        <f t="shared" si="24"/>
        <v>1.4444444444444444</v>
      </c>
      <c r="M42" s="18">
        <f t="shared" si="24"/>
        <v>1.3</v>
      </c>
      <c r="N42" s="18">
        <f t="shared" si="24"/>
        <v>1.1818181818181819</v>
      </c>
      <c r="O42" s="18">
        <f t="shared" si="24"/>
        <v>1.0833333333333333</v>
      </c>
      <c r="P42" s="18">
        <f t="shared" si="24"/>
        <v>1</v>
      </c>
    </row>
    <row r="45" spans="1:16">
      <c r="A45" s="3" t="s">
        <v>31</v>
      </c>
      <c r="B45" s="3">
        <v>1</v>
      </c>
      <c r="C45" s="3">
        <v>2</v>
      </c>
      <c r="D45" s="3">
        <v>1</v>
      </c>
      <c r="E45" s="3">
        <v>2</v>
      </c>
      <c r="F45" s="3">
        <v>1</v>
      </c>
      <c r="G45" s="3">
        <v>2</v>
      </c>
      <c r="H45" s="3">
        <v>1</v>
      </c>
      <c r="I45" s="3">
        <v>2</v>
      </c>
      <c r="J45" s="3">
        <v>1</v>
      </c>
      <c r="K45" s="3">
        <v>2</v>
      </c>
      <c r="L45" s="3">
        <v>1</v>
      </c>
      <c r="M45" s="3">
        <v>2</v>
      </c>
      <c r="N45" s="3">
        <v>1</v>
      </c>
      <c r="O45" s="1" t="s">
        <v>29</v>
      </c>
      <c r="P45" s="1" t="s">
        <v>30</v>
      </c>
    </row>
    <row r="46" spans="1:16">
      <c r="A46" s="3" t="s">
        <v>28</v>
      </c>
      <c r="B46" s="1">
        <v>25</v>
      </c>
      <c r="C46" s="1">
        <v>35</v>
      </c>
      <c r="D46" s="1">
        <v>57</v>
      </c>
      <c r="E46" s="1">
        <v>66</v>
      </c>
      <c r="F46" s="3">
        <v>72</v>
      </c>
      <c r="G46" s="1">
        <v>72</v>
      </c>
      <c r="H46" s="1">
        <v>73</v>
      </c>
      <c r="I46" s="1">
        <v>80</v>
      </c>
      <c r="J46" s="3">
        <v>81</v>
      </c>
      <c r="K46" s="1">
        <v>81</v>
      </c>
      <c r="L46" s="3">
        <v>91</v>
      </c>
      <c r="M46" s="1">
        <v>95</v>
      </c>
      <c r="N46" s="1">
        <v>99</v>
      </c>
      <c r="O46" s="1">
        <f>SUM(B46:N46)</f>
        <v>927</v>
      </c>
      <c r="P46" s="1">
        <f>AVERAGE(B46:N46)</f>
        <v>71.307692307692307</v>
      </c>
    </row>
  </sheetData>
  <sortState xmlns:xlrd2="http://schemas.microsoft.com/office/spreadsheetml/2017/richdata2" columnSort="1" ref="B46:N46">
    <sortCondition ref="B46:N46"/>
  </sortState>
  <mergeCells count="3">
    <mergeCell ref="C1:Y1"/>
    <mergeCell ref="E4:Y4"/>
    <mergeCell ref="E29:P29"/>
  </mergeCells>
  <conditionalFormatting sqref="E6:Y6">
    <cfRule type="cellIs" dxfId="41" priority="3" operator="between">
      <formula>190</formula>
      <formula>211</formula>
    </cfRule>
    <cfRule type="cellIs" dxfId="40" priority="4" operator="between">
      <formula>190</formula>
      <formula>210</formula>
    </cfRule>
  </conditionalFormatting>
  <conditionalFormatting sqref="E5:Y5">
    <cfRule type="cellIs" dxfId="39" priority="1" operator="between">
      <formula>190</formula>
      <formula>211</formula>
    </cfRule>
    <cfRule type="cellIs" dxfId="38" priority="2" operator="between">
      <formula>190</formula>
      <formula>210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959B-D9CF-FE48-A02F-8DBDC56D75B7}">
  <sheetPr codeName="Sheet1"/>
  <dimension ref="A1:BB36"/>
  <sheetViews>
    <sheetView zoomScale="50" zoomScaleNormal="135" workbookViewId="0">
      <selection activeCell="I21" sqref="I21"/>
    </sheetView>
  </sheetViews>
  <sheetFormatPr baseColWidth="10" defaultColWidth="6.83203125" defaultRowHeight="37"/>
  <cols>
    <col min="1" max="1" width="25" style="22" bestFit="1" customWidth="1"/>
    <col min="2" max="14" width="6.83203125" style="22"/>
    <col min="15" max="15" width="25" style="22" bestFit="1" customWidth="1"/>
    <col min="16" max="16384" width="6.83203125" style="22"/>
  </cols>
  <sheetData>
    <row r="1" spans="1:54" ht="40" thickTop="1" thickBot="1">
      <c r="A1" s="71">
        <v>1</v>
      </c>
      <c r="F1" s="24"/>
      <c r="O1" s="22" t="s">
        <v>26</v>
      </c>
    </row>
    <row r="2" spans="1:54" ht="47" thickTop="1" thickBot="1">
      <c r="A2" s="22">
        <v>2</v>
      </c>
      <c r="B2" s="89" t="s">
        <v>14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1"/>
      <c r="Q2" s="23"/>
    </row>
    <row r="3" spans="1:54" ht="46" customHeight="1" thickTop="1" thickBot="1">
      <c r="A3" s="71">
        <v>3</v>
      </c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7"/>
      <c r="P3" s="92" t="s">
        <v>16</v>
      </c>
      <c r="Q3" s="93"/>
      <c r="R3" s="93"/>
      <c r="S3" s="93"/>
      <c r="T3" s="93"/>
      <c r="V3" s="93" t="s">
        <v>15</v>
      </c>
      <c r="W3" s="93"/>
      <c r="X3" s="93"/>
      <c r="Y3" s="93"/>
      <c r="Z3" s="93"/>
      <c r="AB3" s="86" t="s">
        <v>12</v>
      </c>
      <c r="AC3" s="87"/>
      <c r="AD3" s="87"/>
      <c r="AE3" s="87"/>
      <c r="AF3" s="87"/>
      <c r="AX3" s="88" t="s">
        <v>13</v>
      </c>
      <c r="AY3" s="88"/>
      <c r="AZ3" s="88"/>
      <c r="BA3" s="88"/>
      <c r="BB3" s="88"/>
    </row>
    <row r="4" spans="1:54" ht="40" thickTop="1" thickBot="1">
      <c r="A4" s="22">
        <v>4</v>
      </c>
      <c r="B4" s="28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9"/>
      <c r="P4" s="30">
        <f>MAX(F7+G8+H9+I10+J11+E6+D5+C4+B3)</f>
        <v>1</v>
      </c>
      <c r="Q4" s="30">
        <f t="shared" ref="Q4:T8" si="0">MAX(G7+H8+I9+J10+K11+F6+E5+D4+C3)</f>
        <v>0</v>
      </c>
      <c r="R4" s="30">
        <f t="shared" si="0"/>
        <v>1</v>
      </c>
      <c r="S4" s="30">
        <f t="shared" si="0"/>
        <v>0</v>
      </c>
      <c r="T4" s="30">
        <f t="shared" si="0"/>
        <v>1</v>
      </c>
      <c r="U4" s="30"/>
      <c r="V4" s="30">
        <f>MAX(F$7:F$11)</f>
        <v>1</v>
      </c>
      <c r="W4" s="30">
        <f t="shared" ref="W4:Z4" si="1">MAX(G$7:G$11)</f>
        <v>0</v>
      </c>
      <c r="X4" s="30">
        <f t="shared" si="1"/>
        <v>1</v>
      </c>
      <c r="Y4" s="30">
        <f t="shared" si="1"/>
        <v>0</v>
      </c>
      <c r="Z4" s="30">
        <f t="shared" si="1"/>
        <v>1</v>
      </c>
      <c r="AB4" s="30">
        <f t="shared" ref="AB4:AF8" si="2">_xlfn.IFS( F7=1, 1, P4+V11+V4+P11&gt;0, "x", TRUE,"")</f>
        <v>1</v>
      </c>
      <c r="AC4" s="30" t="str">
        <f t="shared" si="2"/>
        <v>x</v>
      </c>
      <c r="AD4" s="30">
        <f t="shared" si="2"/>
        <v>1</v>
      </c>
      <c r="AE4" s="30" t="str">
        <f t="shared" si="2"/>
        <v>x</v>
      </c>
      <c r="AF4" s="30">
        <f t="shared" si="2"/>
        <v>1</v>
      </c>
      <c r="AH4" s="46">
        <f>COUNTIF(AB4:AF8,"")</f>
        <v>4</v>
      </c>
      <c r="AX4" s="30">
        <v>6</v>
      </c>
      <c r="AY4" s="30">
        <v>5</v>
      </c>
      <c r="AZ4" s="30">
        <v>2</v>
      </c>
      <c r="BA4" s="30">
        <v>4</v>
      </c>
      <c r="BB4" s="30">
        <v>2</v>
      </c>
    </row>
    <row r="5" spans="1:54" ht="40" thickTop="1" thickBot="1">
      <c r="A5" s="71">
        <v>5</v>
      </c>
      <c r="B5" s="28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9"/>
      <c r="P5" s="30">
        <f t="shared" ref="P5:P8" si="3">MAX(F8+G9+H10+I11+J12+E7+D6+C5+B4)</f>
        <v>0</v>
      </c>
      <c r="Q5" s="30">
        <f t="shared" si="0"/>
        <v>1</v>
      </c>
      <c r="R5" s="30">
        <f t="shared" si="0"/>
        <v>0</v>
      </c>
      <c r="S5" s="30">
        <f t="shared" si="0"/>
        <v>1</v>
      </c>
      <c r="T5" s="30">
        <f t="shared" si="0"/>
        <v>0</v>
      </c>
      <c r="U5" s="30"/>
      <c r="V5" s="30">
        <f t="shared" ref="V5:V8" si="4">MAX(F$7:F$11)</f>
        <v>1</v>
      </c>
      <c r="W5" s="30">
        <f t="shared" ref="W5:W8" si="5">MAX(G$7:G$11)</f>
        <v>0</v>
      </c>
      <c r="X5" s="30">
        <f t="shared" ref="X5:X8" si="6">MAX(H$7:H$11)</f>
        <v>1</v>
      </c>
      <c r="Y5" s="30">
        <f t="shared" ref="Y5:Y8" si="7">MAX(I$7:I$11)</f>
        <v>0</v>
      </c>
      <c r="Z5" s="30">
        <f t="shared" ref="Z5:Z8" si="8">MAX(J$7:J$11)</f>
        <v>1</v>
      </c>
      <c r="AB5" s="30" t="str">
        <f t="shared" si="2"/>
        <v>x</v>
      </c>
      <c r="AC5" s="30" t="str">
        <f t="shared" si="2"/>
        <v>x</v>
      </c>
      <c r="AD5" s="30" t="str">
        <f t="shared" si="2"/>
        <v>x</v>
      </c>
      <c r="AE5" s="30" t="str">
        <f t="shared" si="2"/>
        <v>x</v>
      </c>
      <c r="AF5" s="30" t="str">
        <f t="shared" si="2"/>
        <v>x</v>
      </c>
      <c r="AX5" s="30">
        <v>3</v>
      </c>
      <c r="AY5" s="30">
        <v>2</v>
      </c>
      <c r="AZ5" s="30">
        <v>2</v>
      </c>
      <c r="BA5" s="31">
        <v>0</v>
      </c>
      <c r="BB5" s="31">
        <v>0</v>
      </c>
    </row>
    <row r="6" spans="1:54" ht="40" thickTop="1" thickBot="1">
      <c r="A6" s="22">
        <v>6</v>
      </c>
      <c r="B6" s="28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9"/>
      <c r="P6" s="30">
        <f t="shared" si="3"/>
        <v>0</v>
      </c>
      <c r="Q6" s="30">
        <f t="shared" si="0"/>
        <v>0</v>
      </c>
      <c r="R6" s="30">
        <f t="shared" si="0"/>
        <v>1</v>
      </c>
      <c r="S6" s="30">
        <f t="shared" si="0"/>
        <v>0</v>
      </c>
      <c r="T6" s="30">
        <f t="shared" si="0"/>
        <v>1</v>
      </c>
      <c r="U6" s="30"/>
      <c r="V6" s="30">
        <f t="shared" si="4"/>
        <v>1</v>
      </c>
      <c r="W6" s="30">
        <f t="shared" si="5"/>
        <v>0</v>
      </c>
      <c r="X6" s="30">
        <f t="shared" si="6"/>
        <v>1</v>
      </c>
      <c r="Y6" s="30">
        <f t="shared" si="7"/>
        <v>0</v>
      </c>
      <c r="Z6" s="30">
        <f t="shared" si="8"/>
        <v>1</v>
      </c>
      <c r="AB6" s="30" t="str">
        <f t="shared" si="2"/>
        <v>x</v>
      </c>
      <c r="AC6" s="30" t="str">
        <f t="shared" si="2"/>
        <v/>
      </c>
      <c r="AD6" s="30" t="str">
        <f t="shared" si="2"/>
        <v>x</v>
      </c>
      <c r="AE6" s="30" t="str">
        <f t="shared" si="2"/>
        <v/>
      </c>
      <c r="AF6" s="30" t="str">
        <f t="shared" si="2"/>
        <v>x</v>
      </c>
      <c r="AX6" s="30">
        <v>2</v>
      </c>
      <c r="AY6" s="30">
        <v>2</v>
      </c>
      <c r="AZ6" s="30">
        <v>1</v>
      </c>
      <c r="BA6" s="30">
        <v>1</v>
      </c>
      <c r="BB6" s="31">
        <v>0</v>
      </c>
    </row>
    <row r="7" spans="1:54" ht="40" thickTop="1" thickBot="1">
      <c r="A7" s="71">
        <v>7</v>
      </c>
      <c r="B7" s="28"/>
      <c r="C7" s="23"/>
      <c r="D7" s="23"/>
      <c r="E7" s="23"/>
      <c r="F7" s="41">
        <v>1</v>
      </c>
      <c r="G7" s="42"/>
      <c r="H7" s="42">
        <v>1</v>
      </c>
      <c r="I7" s="42"/>
      <c r="J7" s="43">
        <v>1</v>
      </c>
      <c r="K7" s="23"/>
      <c r="L7" s="23"/>
      <c r="M7" s="23"/>
      <c r="N7" s="29"/>
      <c r="P7" s="30">
        <f t="shared" si="3"/>
        <v>0</v>
      </c>
      <c r="Q7" s="30">
        <f t="shared" si="0"/>
        <v>0</v>
      </c>
      <c r="R7" s="30">
        <f t="shared" si="0"/>
        <v>0</v>
      </c>
      <c r="S7" s="30">
        <f t="shared" si="0"/>
        <v>1</v>
      </c>
      <c r="T7" s="30">
        <f t="shared" si="0"/>
        <v>0</v>
      </c>
      <c r="U7" s="30"/>
      <c r="V7" s="30">
        <f t="shared" si="4"/>
        <v>1</v>
      </c>
      <c r="W7" s="30">
        <f t="shared" si="5"/>
        <v>0</v>
      </c>
      <c r="X7" s="30">
        <f t="shared" si="6"/>
        <v>1</v>
      </c>
      <c r="Y7" s="30">
        <f t="shared" si="7"/>
        <v>0</v>
      </c>
      <c r="Z7" s="30">
        <f t="shared" si="8"/>
        <v>1</v>
      </c>
      <c r="AB7" s="30" t="str">
        <f t="shared" si="2"/>
        <v>x</v>
      </c>
      <c r="AC7" s="30" t="str">
        <f t="shared" si="2"/>
        <v>x</v>
      </c>
      <c r="AD7" s="30" t="str">
        <f t="shared" si="2"/>
        <v>x</v>
      </c>
      <c r="AE7" s="30" t="str">
        <f t="shared" si="2"/>
        <v>x</v>
      </c>
      <c r="AF7" s="30" t="str">
        <f t="shared" si="2"/>
        <v>x</v>
      </c>
      <c r="AX7" s="30">
        <v>5</v>
      </c>
      <c r="AY7" s="30">
        <v>2</v>
      </c>
      <c r="AZ7" s="30">
        <v>1</v>
      </c>
      <c r="BA7" s="30">
        <v>2</v>
      </c>
      <c r="BB7" s="30">
        <v>2</v>
      </c>
    </row>
    <row r="8" spans="1:54" ht="40" thickTop="1" thickBot="1">
      <c r="A8" s="22">
        <v>8</v>
      </c>
      <c r="B8" s="28"/>
      <c r="C8" s="23"/>
      <c r="D8" s="23"/>
      <c r="E8" s="23"/>
      <c r="F8" s="36"/>
      <c r="G8" s="30"/>
      <c r="H8" s="30"/>
      <c r="I8" s="30"/>
      <c r="J8" s="37"/>
      <c r="K8" s="23"/>
      <c r="L8" s="23"/>
      <c r="M8" s="23"/>
      <c r="N8" s="29"/>
      <c r="P8" s="30">
        <f t="shared" si="3"/>
        <v>0</v>
      </c>
      <c r="Q8" s="30">
        <f t="shared" si="0"/>
        <v>0</v>
      </c>
      <c r="R8" s="30">
        <f t="shared" si="0"/>
        <v>0</v>
      </c>
      <c r="S8" s="30">
        <f t="shared" si="0"/>
        <v>0</v>
      </c>
      <c r="T8" s="30">
        <f t="shared" si="0"/>
        <v>1</v>
      </c>
      <c r="U8" s="30"/>
      <c r="V8" s="30">
        <f t="shared" si="4"/>
        <v>1</v>
      </c>
      <c r="W8" s="30">
        <f t="shared" si="5"/>
        <v>0</v>
      </c>
      <c r="X8" s="30">
        <f t="shared" si="6"/>
        <v>1</v>
      </c>
      <c r="Y8" s="30">
        <f t="shared" si="7"/>
        <v>0</v>
      </c>
      <c r="Z8" s="30">
        <f t="shared" si="8"/>
        <v>1</v>
      </c>
      <c r="AB8" s="30" t="str">
        <f t="shared" si="2"/>
        <v>x</v>
      </c>
      <c r="AC8" s="30" t="str">
        <f t="shared" si="2"/>
        <v/>
      </c>
      <c r="AD8" s="30" t="str">
        <f t="shared" si="2"/>
        <v>x</v>
      </c>
      <c r="AE8" s="30" t="str">
        <f t="shared" si="2"/>
        <v/>
      </c>
      <c r="AF8" s="30" t="str">
        <f t="shared" si="2"/>
        <v>x</v>
      </c>
      <c r="AX8" s="30">
        <v>2</v>
      </c>
      <c r="AY8" s="30">
        <v>2</v>
      </c>
      <c r="AZ8" s="31">
        <v>0</v>
      </c>
      <c r="BA8" s="31">
        <v>0</v>
      </c>
      <c r="BB8" s="30">
        <v>1</v>
      </c>
    </row>
    <row r="9" spans="1:54" ht="39" thickTop="1" thickBot="1">
      <c r="A9" s="71">
        <v>9</v>
      </c>
      <c r="B9" s="28"/>
      <c r="C9" s="23"/>
      <c r="D9" s="23"/>
      <c r="E9" s="23"/>
      <c r="F9" s="36"/>
      <c r="G9" s="23"/>
      <c r="H9" s="30"/>
      <c r="I9" s="30"/>
      <c r="J9" s="29"/>
      <c r="K9" s="23"/>
      <c r="L9" s="23"/>
      <c r="M9" s="23"/>
      <c r="N9" s="29"/>
    </row>
    <row r="10" spans="1:54" ht="38" thickTop="1">
      <c r="A10" s="22">
        <v>10</v>
      </c>
      <c r="B10" s="28"/>
      <c r="C10" s="23"/>
      <c r="D10" s="23"/>
      <c r="E10" s="23"/>
      <c r="F10" s="50"/>
      <c r="G10" s="30"/>
      <c r="H10" s="30"/>
      <c r="I10" s="30"/>
      <c r="J10" s="37"/>
      <c r="K10" s="23"/>
      <c r="L10" s="23"/>
      <c r="M10" s="23"/>
      <c r="N10" s="29"/>
      <c r="P10" s="92" t="s">
        <v>17</v>
      </c>
      <c r="Q10" s="93"/>
      <c r="R10" s="93"/>
      <c r="S10" s="93"/>
      <c r="T10" s="93"/>
      <c r="V10" s="93" t="s">
        <v>11</v>
      </c>
      <c r="W10" s="93"/>
      <c r="X10" s="93"/>
      <c r="Y10" s="93"/>
      <c r="Z10" s="93"/>
    </row>
    <row r="11" spans="1:54" ht="38" thickBot="1">
      <c r="B11" s="28"/>
      <c r="C11" s="23"/>
      <c r="D11" s="23"/>
      <c r="E11" s="23"/>
      <c r="F11" s="38"/>
      <c r="G11" s="39"/>
      <c r="H11" s="39"/>
      <c r="I11" s="39"/>
      <c r="J11" s="40"/>
      <c r="K11" s="23"/>
      <c r="L11" s="23"/>
      <c r="M11" s="23"/>
      <c r="N11" s="29"/>
      <c r="P11" s="30">
        <f>MAX(B11+C10+D9+E8+F7+G6+H5+I4+J3)</f>
        <v>1</v>
      </c>
      <c r="Q11" s="30">
        <f t="shared" ref="Q11:T11" si="9">MAX(C11+D10+E9+F8+G7+H6+I5+J4+K3)</f>
        <v>0</v>
      </c>
      <c r="R11" s="30">
        <f t="shared" si="9"/>
        <v>1</v>
      </c>
      <c r="S11" s="30">
        <f t="shared" si="9"/>
        <v>0</v>
      </c>
      <c r="T11" s="30">
        <f t="shared" si="9"/>
        <v>1</v>
      </c>
      <c r="V11" s="30">
        <f>MAX($F7:$J7)</f>
        <v>1</v>
      </c>
      <c r="W11" s="30">
        <f t="shared" ref="W11:Z11" si="10">MAX($F7:$J7)</f>
        <v>1</v>
      </c>
      <c r="X11" s="30">
        <f t="shared" si="10"/>
        <v>1</v>
      </c>
      <c r="Y11" s="30">
        <f t="shared" si="10"/>
        <v>1</v>
      </c>
      <c r="Z11" s="30">
        <f t="shared" si="10"/>
        <v>1</v>
      </c>
    </row>
    <row r="12" spans="1:54">
      <c r="B12" s="28"/>
      <c r="C12" s="23"/>
      <c r="D12" s="23"/>
      <c r="E12" s="23"/>
      <c r="F12" s="32"/>
      <c r="G12" s="23"/>
      <c r="H12" s="23"/>
      <c r="I12" s="23"/>
      <c r="J12" s="23"/>
      <c r="K12" s="23"/>
      <c r="L12" s="23"/>
      <c r="M12" s="23"/>
      <c r="N12" s="29"/>
      <c r="P12" s="30">
        <f t="shared" ref="P12:P15" si="11">MAX(B12+C11+D10+E9+F8+G7+H6+I5+J4)</f>
        <v>0</v>
      </c>
      <c r="Q12" s="30">
        <f t="shared" ref="Q12:Q15" si="12">MAX(C12+D11+E10+F9+G8+H7+I6+J5+K4)</f>
        <v>1</v>
      </c>
      <c r="R12" s="30">
        <f t="shared" ref="R12:R15" si="13">MAX(D12+E11+F10+G9+H8+I7+J6+K5+L4)</f>
        <v>0</v>
      </c>
      <c r="S12" s="30">
        <f t="shared" ref="S12:S15" si="14">MAX(E12+F11+G10+H9+I8+J7+K6+L5+M4)</f>
        <v>1</v>
      </c>
      <c r="T12" s="30">
        <f t="shared" ref="T12:T15" si="15">MAX(F12+G11+H10+I9+J8+K7+L6+M5+N4)</f>
        <v>0</v>
      </c>
      <c r="V12" s="30">
        <f t="shared" ref="V12:Z12" si="16">MAX($F8:$J8)</f>
        <v>0</v>
      </c>
      <c r="W12" s="30">
        <f t="shared" si="16"/>
        <v>0</v>
      </c>
      <c r="X12" s="30">
        <f t="shared" si="16"/>
        <v>0</v>
      </c>
      <c r="Y12" s="30">
        <f t="shared" si="16"/>
        <v>0</v>
      </c>
      <c r="Z12" s="30">
        <f t="shared" si="16"/>
        <v>0</v>
      </c>
    </row>
    <row r="13" spans="1:54">
      <c r="B13" s="28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9"/>
      <c r="P13" s="30">
        <f t="shared" si="11"/>
        <v>1</v>
      </c>
      <c r="Q13" s="30">
        <f t="shared" si="12"/>
        <v>0</v>
      </c>
      <c r="R13" s="30">
        <f t="shared" si="13"/>
        <v>1</v>
      </c>
      <c r="S13" s="30">
        <f t="shared" si="14"/>
        <v>0</v>
      </c>
      <c r="T13" s="30">
        <f t="shared" si="15"/>
        <v>0</v>
      </c>
      <c r="V13" s="30">
        <f t="shared" ref="V13:Z13" si="17">MAX($F9:$J9)</f>
        <v>0</v>
      </c>
      <c r="W13" s="30">
        <f t="shared" si="17"/>
        <v>0</v>
      </c>
      <c r="X13" s="30">
        <f t="shared" si="17"/>
        <v>0</v>
      </c>
      <c r="Y13" s="30">
        <f t="shared" si="17"/>
        <v>0</v>
      </c>
      <c r="Z13" s="30">
        <f t="shared" si="17"/>
        <v>0</v>
      </c>
    </row>
    <row r="14" spans="1:54">
      <c r="B14" s="28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9"/>
      <c r="P14" s="30">
        <f t="shared" si="11"/>
        <v>0</v>
      </c>
      <c r="Q14" s="30">
        <f t="shared" si="12"/>
        <v>1</v>
      </c>
      <c r="R14" s="30">
        <f t="shared" si="13"/>
        <v>0</v>
      </c>
      <c r="S14" s="30">
        <f t="shared" si="14"/>
        <v>0</v>
      </c>
      <c r="T14" s="30">
        <f t="shared" si="15"/>
        <v>0</v>
      </c>
      <c r="V14" s="30">
        <f t="shared" ref="V14:Z14" si="18">MAX($F10:$J10)</f>
        <v>0</v>
      </c>
      <c r="W14" s="30">
        <f t="shared" si="18"/>
        <v>0</v>
      </c>
      <c r="X14" s="30">
        <f t="shared" si="18"/>
        <v>0</v>
      </c>
      <c r="Y14" s="30">
        <f t="shared" si="18"/>
        <v>0</v>
      </c>
      <c r="Z14" s="30">
        <f t="shared" si="18"/>
        <v>0</v>
      </c>
    </row>
    <row r="15" spans="1:54" ht="38" thickBot="1">
      <c r="B15" s="33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5"/>
      <c r="P15" s="30">
        <f t="shared" si="11"/>
        <v>1</v>
      </c>
      <c r="Q15" s="30">
        <f t="shared" si="12"/>
        <v>0</v>
      </c>
      <c r="R15" s="30">
        <f t="shared" si="13"/>
        <v>0</v>
      </c>
      <c r="S15" s="30">
        <f t="shared" si="14"/>
        <v>0</v>
      </c>
      <c r="T15" s="30">
        <f t="shared" si="15"/>
        <v>0</v>
      </c>
      <c r="V15" s="30">
        <f t="shared" ref="V15:Z15" si="19">MAX($F11:$J11)</f>
        <v>0</v>
      </c>
      <c r="W15" s="30">
        <f t="shared" si="19"/>
        <v>0</v>
      </c>
      <c r="X15" s="30">
        <f t="shared" si="19"/>
        <v>0</v>
      </c>
      <c r="Y15" s="30">
        <f t="shared" si="19"/>
        <v>0</v>
      </c>
      <c r="Z15" s="30">
        <f t="shared" si="19"/>
        <v>0</v>
      </c>
    </row>
    <row r="27" spans="9:18" ht="38" thickBot="1">
      <c r="J27" s="44">
        <v>1</v>
      </c>
      <c r="K27" s="44">
        <v>2</v>
      </c>
      <c r="L27" s="44">
        <v>3</v>
      </c>
      <c r="M27" s="44">
        <v>4</v>
      </c>
      <c r="N27" s="44">
        <v>5</v>
      </c>
      <c r="O27" s="44">
        <v>6</v>
      </c>
      <c r="P27" s="44">
        <v>7</v>
      </c>
      <c r="Q27" s="44">
        <v>8</v>
      </c>
      <c r="R27" s="44">
        <v>9</v>
      </c>
    </row>
    <row r="28" spans="9:18">
      <c r="I28" s="45">
        <v>1</v>
      </c>
      <c r="J28" s="41">
        <v>1</v>
      </c>
      <c r="K28" s="42">
        <v>2</v>
      </c>
      <c r="L28" s="42">
        <v>3</v>
      </c>
      <c r="M28" s="42">
        <v>4</v>
      </c>
      <c r="N28" s="42">
        <v>5</v>
      </c>
      <c r="O28" s="42">
        <v>6</v>
      </c>
      <c r="P28" s="42">
        <v>7</v>
      </c>
      <c r="Q28" s="42">
        <v>8</v>
      </c>
      <c r="R28" s="43">
        <v>9</v>
      </c>
    </row>
    <row r="29" spans="9:18">
      <c r="I29" s="45">
        <v>2</v>
      </c>
      <c r="J29" s="36">
        <v>2</v>
      </c>
      <c r="K29" s="30">
        <v>4</v>
      </c>
      <c r="L29" s="30">
        <v>6</v>
      </c>
      <c r="M29" s="30">
        <v>8</v>
      </c>
      <c r="N29" s="30">
        <v>10</v>
      </c>
      <c r="O29" s="30">
        <v>12</v>
      </c>
      <c r="P29" s="30">
        <v>14</v>
      </c>
      <c r="Q29" s="30">
        <v>16</v>
      </c>
      <c r="R29" s="37">
        <v>18</v>
      </c>
    </row>
    <row r="30" spans="9:18">
      <c r="I30" s="45">
        <v>3</v>
      </c>
      <c r="J30" s="36">
        <v>3</v>
      </c>
      <c r="K30" s="30">
        <v>6</v>
      </c>
      <c r="L30" s="30">
        <v>9</v>
      </c>
      <c r="M30" s="30">
        <v>12</v>
      </c>
      <c r="N30" s="30">
        <v>15</v>
      </c>
      <c r="O30" s="30">
        <v>18</v>
      </c>
      <c r="P30" s="30">
        <v>21</v>
      </c>
      <c r="Q30" s="30">
        <v>24</v>
      </c>
      <c r="R30" s="37">
        <v>27</v>
      </c>
    </row>
    <row r="31" spans="9:18">
      <c r="I31" s="45">
        <v>4</v>
      </c>
      <c r="J31" s="36">
        <v>4</v>
      </c>
      <c r="K31" s="30">
        <v>8</v>
      </c>
      <c r="L31" s="30">
        <v>12</v>
      </c>
      <c r="M31" s="30">
        <v>16</v>
      </c>
      <c r="N31" s="30">
        <v>20</v>
      </c>
      <c r="O31" s="30">
        <v>24</v>
      </c>
      <c r="P31" s="30">
        <v>28</v>
      </c>
      <c r="Q31" s="30">
        <v>32</v>
      </c>
      <c r="R31" s="37">
        <v>36</v>
      </c>
    </row>
    <row r="32" spans="9:18">
      <c r="I32" s="45">
        <v>5</v>
      </c>
      <c r="J32" s="36">
        <v>5</v>
      </c>
      <c r="K32" s="30">
        <v>10</v>
      </c>
      <c r="L32" s="30">
        <v>15</v>
      </c>
      <c r="M32" s="30">
        <v>20</v>
      </c>
      <c r="N32" s="30">
        <v>25</v>
      </c>
      <c r="O32" s="30">
        <v>30</v>
      </c>
      <c r="P32" s="30">
        <v>35</v>
      </c>
      <c r="Q32" s="30">
        <v>40</v>
      </c>
      <c r="R32" s="37">
        <v>45</v>
      </c>
    </row>
    <row r="33" spans="9:18">
      <c r="I33" s="45">
        <v>6</v>
      </c>
      <c r="J33" s="36">
        <v>6</v>
      </c>
      <c r="K33" s="30">
        <v>12</v>
      </c>
      <c r="L33" s="30">
        <v>18</v>
      </c>
      <c r="M33" s="30">
        <v>24</v>
      </c>
      <c r="N33" s="30">
        <v>30</v>
      </c>
      <c r="O33" s="30">
        <v>36</v>
      </c>
      <c r="P33" s="30">
        <v>42</v>
      </c>
      <c r="Q33" s="30">
        <v>48</v>
      </c>
      <c r="R33" s="37">
        <v>54</v>
      </c>
    </row>
    <row r="34" spans="9:18">
      <c r="I34" s="45">
        <v>7</v>
      </c>
      <c r="J34" s="36">
        <v>7</v>
      </c>
      <c r="K34" s="30">
        <v>14</v>
      </c>
      <c r="L34" s="30">
        <v>21</v>
      </c>
      <c r="M34" s="30">
        <v>28</v>
      </c>
      <c r="N34" s="30">
        <v>35</v>
      </c>
      <c r="O34" s="30">
        <v>42</v>
      </c>
      <c r="P34" s="30">
        <v>49</v>
      </c>
      <c r="Q34" s="30">
        <v>56</v>
      </c>
      <c r="R34" s="37">
        <v>63</v>
      </c>
    </row>
    <row r="35" spans="9:18">
      <c r="I35" s="45">
        <v>8</v>
      </c>
      <c r="J35" s="36">
        <v>8</v>
      </c>
      <c r="K35" s="30">
        <v>16</v>
      </c>
      <c r="L35" s="30">
        <v>24</v>
      </c>
      <c r="M35" s="30">
        <v>32</v>
      </c>
      <c r="N35" s="30">
        <v>40</v>
      </c>
      <c r="O35" s="30">
        <v>48</v>
      </c>
      <c r="P35" s="30">
        <v>56</v>
      </c>
      <c r="Q35" s="30">
        <v>64</v>
      </c>
      <c r="R35" s="37">
        <v>72</v>
      </c>
    </row>
    <row r="36" spans="9:18" ht="38" thickBot="1">
      <c r="I36" s="45">
        <v>9</v>
      </c>
      <c r="J36" s="38">
        <v>9</v>
      </c>
      <c r="K36" s="39">
        <v>18</v>
      </c>
      <c r="L36" s="39">
        <v>27</v>
      </c>
      <c r="M36" s="39">
        <v>36</v>
      </c>
      <c r="N36" s="39">
        <v>45</v>
      </c>
      <c r="O36" s="39">
        <v>54</v>
      </c>
      <c r="P36" s="39">
        <v>63</v>
      </c>
      <c r="Q36" s="39">
        <v>72</v>
      </c>
      <c r="R36" s="40">
        <v>81</v>
      </c>
    </row>
  </sheetData>
  <mergeCells count="7">
    <mergeCell ref="AB3:AF3"/>
    <mergeCell ref="AX3:BB3"/>
    <mergeCell ref="B2:N2"/>
    <mergeCell ref="P3:T3"/>
    <mergeCell ref="V10:Z10"/>
    <mergeCell ref="V3:Z3"/>
    <mergeCell ref="P10:T10"/>
  </mergeCells>
  <conditionalFormatting sqref="F7:J8 F9 H9:I9 F10:J11">
    <cfRule type="cellIs" dxfId="37" priority="18" operator="notEqual">
      <formula>0</formula>
    </cfRule>
  </conditionalFormatting>
  <conditionalFormatting sqref="AH4">
    <cfRule type="cellIs" dxfId="36" priority="17" operator="greaterThan">
      <formula>4</formula>
    </cfRule>
  </conditionalFormatting>
  <conditionalFormatting sqref="AB4:AF8">
    <cfRule type="expression" dxfId="35" priority="12" stopIfTrue="1">
      <formula>NOT(AB4="")</formula>
    </cfRule>
  </conditionalFormatting>
  <conditionalFormatting sqref="P4:T8">
    <cfRule type="cellIs" dxfId="34" priority="7" operator="notEqual">
      <formula>0</formula>
    </cfRule>
  </conditionalFormatting>
  <conditionalFormatting sqref="P11:T15">
    <cfRule type="cellIs" dxfId="33" priority="3" operator="notEqual">
      <formula>0</formula>
    </cfRule>
  </conditionalFormatting>
  <conditionalFormatting sqref="V4:Z8">
    <cfRule type="cellIs" dxfId="32" priority="2" operator="notEqual">
      <formula>0</formula>
    </cfRule>
  </conditionalFormatting>
  <conditionalFormatting sqref="V11:Z15">
    <cfRule type="cellIs" dxfId="31" priority="1" operator="notEqual">
      <formula>0</formula>
    </cfRule>
  </conditionalFormatting>
  <hyperlinks>
    <hyperlink ref="P3" r:id="rId1" xr:uid="{EDF6601C-53A2-D040-856C-79550665A40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9CE2E-D053-114D-899C-B780EDC003C4}">
  <sheetPr codeName="Sheet4"/>
  <dimension ref="E1:AD31"/>
  <sheetViews>
    <sheetView topLeftCell="A17" zoomScale="109" zoomScaleNormal="184" workbookViewId="0">
      <selection activeCell="F19" sqref="F19"/>
    </sheetView>
  </sheetViews>
  <sheetFormatPr baseColWidth="10" defaultRowHeight="26"/>
  <cols>
    <col min="1" max="1" width="21.83203125" style="4" bestFit="1" customWidth="1"/>
    <col min="2" max="2" width="5" style="4" bestFit="1" customWidth="1"/>
    <col min="3" max="3" width="4.6640625" style="4" bestFit="1" customWidth="1"/>
    <col min="4" max="11" width="4.83203125" style="4" bestFit="1" customWidth="1"/>
    <col min="12" max="16" width="6.5" style="4" bestFit="1" customWidth="1"/>
    <col min="17" max="17" width="6.5" style="4" customWidth="1"/>
    <col min="18" max="18" width="3.1640625" style="4" bestFit="1" customWidth="1"/>
    <col min="19" max="20" width="4.83203125" style="4" bestFit="1" customWidth="1"/>
    <col min="21" max="21" width="6.5" style="4" bestFit="1" customWidth="1"/>
    <col min="22" max="22" width="20" style="4" bestFit="1" customWidth="1"/>
    <col min="23" max="23" width="8.1640625" style="4" bestFit="1" customWidth="1"/>
    <col min="24" max="24" width="6.5" style="4" bestFit="1" customWidth="1"/>
    <col min="25" max="26" width="20" style="4" bestFit="1" customWidth="1"/>
    <col min="27" max="27" width="9.83203125" style="4" bestFit="1" customWidth="1"/>
    <col min="28" max="28" width="20" style="4" bestFit="1" customWidth="1"/>
    <col min="29" max="29" width="6.5" style="4" bestFit="1" customWidth="1"/>
    <col min="30" max="30" width="20" style="4" bestFit="1" customWidth="1"/>
    <col min="31" max="16384" width="10.83203125" style="4"/>
  </cols>
  <sheetData>
    <row r="1" spans="5:30" ht="27" thickBot="1"/>
    <row r="2" spans="5:30" ht="27" thickBot="1">
      <c r="S2" s="96" t="s">
        <v>1</v>
      </c>
      <c r="T2" s="97"/>
      <c r="U2" s="97"/>
      <c r="V2" s="97"/>
      <c r="W2" s="97"/>
      <c r="X2" s="97"/>
      <c r="Y2" s="97"/>
      <c r="Z2" s="97"/>
      <c r="AA2" s="97"/>
      <c r="AB2" s="97"/>
      <c r="AC2" s="97"/>
      <c r="AD2" s="98"/>
    </row>
    <row r="3" spans="5:30" ht="27" thickBot="1">
      <c r="E3" s="95" t="s">
        <v>0</v>
      </c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11"/>
      <c r="T3" s="4" t="s">
        <v>3</v>
      </c>
    </row>
    <row r="4" spans="5:30">
      <c r="E4" s="5">
        <v>0</v>
      </c>
      <c r="F4" s="6">
        <f>1+E4</f>
        <v>1</v>
      </c>
      <c r="G4" s="6">
        <f t="shared" ref="G4:P4" si="0">1+F4</f>
        <v>2</v>
      </c>
      <c r="H4" s="6">
        <f t="shared" si="0"/>
        <v>3</v>
      </c>
      <c r="I4" s="6">
        <f t="shared" si="0"/>
        <v>4</v>
      </c>
      <c r="J4" s="6">
        <f t="shared" si="0"/>
        <v>5</v>
      </c>
      <c r="K4" s="6">
        <f t="shared" si="0"/>
        <v>6</v>
      </c>
      <c r="L4" s="6">
        <f t="shared" si="0"/>
        <v>7</v>
      </c>
      <c r="M4" s="6">
        <f t="shared" si="0"/>
        <v>8</v>
      </c>
      <c r="N4" s="6">
        <f t="shared" si="0"/>
        <v>9</v>
      </c>
      <c r="O4" s="6">
        <f t="shared" si="0"/>
        <v>10</v>
      </c>
      <c r="P4" s="7">
        <f t="shared" si="0"/>
        <v>11</v>
      </c>
      <c r="Q4" s="11"/>
      <c r="S4" s="5">
        <v>0</v>
      </c>
      <c r="T4" s="6">
        <f>1+S4</f>
        <v>1</v>
      </c>
      <c r="U4" s="6">
        <f t="shared" ref="U4:AD4" si="1">1+T4</f>
        <v>2</v>
      </c>
      <c r="V4" s="6">
        <f t="shared" si="1"/>
        <v>3</v>
      </c>
      <c r="W4" s="6">
        <f t="shared" si="1"/>
        <v>4</v>
      </c>
      <c r="X4" s="6">
        <f t="shared" si="1"/>
        <v>5</v>
      </c>
      <c r="Y4" s="6">
        <f t="shared" si="1"/>
        <v>6</v>
      </c>
      <c r="Z4" s="6">
        <f t="shared" si="1"/>
        <v>7</v>
      </c>
      <c r="AA4" s="6">
        <f t="shared" si="1"/>
        <v>8</v>
      </c>
      <c r="AB4" s="6">
        <f t="shared" si="1"/>
        <v>9</v>
      </c>
      <c r="AC4" s="6">
        <f t="shared" si="1"/>
        <v>10</v>
      </c>
      <c r="AD4" s="7">
        <f t="shared" si="1"/>
        <v>11</v>
      </c>
    </row>
    <row r="5" spans="5:30">
      <c r="E5" s="8">
        <f xml:space="preserve"> 1+E4</f>
        <v>1</v>
      </c>
      <c r="F5" s="10">
        <f>$E5*F$4</f>
        <v>1</v>
      </c>
      <c r="G5" s="10">
        <f>$E5*G$4</f>
        <v>2</v>
      </c>
      <c r="H5" s="10">
        <f t="shared" ref="H5:P15" si="2">$E5*H$4</f>
        <v>3</v>
      </c>
      <c r="I5" s="10">
        <f t="shared" si="2"/>
        <v>4</v>
      </c>
      <c r="J5" s="10">
        <f t="shared" si="2"/>
        <v>5</v>
      </c>
      <c r="K5" s="10">
        <f t="shared" si="2"/>
        <v>6</v>
      </c>
      <c r="L5" s="10">
        <f t="shared" si="2"/>
        <v>7</v>
      </c>
      <c r="M5" s="10">
        <f t="shared" si="2"/>
        <v>8</v>
      </c>
      <c r="N5" s="10">
        <f t="shared" si="2"/>
        <v>9</v>
      </c>
      <c r="O5" s="10">
        <f t="shared" si="2"/>
        <v>10</v>
      </c>
      <c r="P5" s="10">
        <f t="shared" si="2"/>
        <v>11</v>
      </c>
      <c r="Q5" s="12"/>
      <c r="R5" s="4" t="s">
        <v>2</v>
      </c>
      <c r="S5" s="8">
        <f xml:space="preserve"> 1+S4</f>
        <v>1</v>
      </c>
      <c r="T5" s="10">
        <f>$S5/T$4</f>
        <v>1</v>
      </c>
      <c r="U5" s="10">
        <f t="shared" ref="U5:AD15" si="3">$S5/U$4</f>
        <v>0.5</v>
      </c>
      <c r="V5" s="10">
        <f t="shared" si="3"/>
        <v>0.33333333333333331</v>
      </c>
      <c r="W5" s="10">
        <f t="shared" si="3"/>
        <v>0.25</v>
      </c>
      <c r="X5" s="10">
        <f t="shared" si="3"/>
        <v>0.2</v>
      </c>
      <c r="Y5" s="10">
        <f t="shared" si="3"/>
        <v>0.16666666666666666</v>
      </c>
      <c r="Z5" s="10">
        <f t="shared" si="3"/>
        <v>0.14285714285714285</v>
      </c>
      <c r="AA5" s="10">
        <f t="shared" si="3"/>
        <v>0.125</v>
      </c>
      <c r="AB5" s="10">
        <f t="shared" si="3"/>
        <v>0.1111111111111111</v>
      </c>
      <c r="AC5" s="10">
        <f t="shared" si="3"/>
        <v>0.1</v>
      </c>
      <c r="AD5" s="10">
        <f t="shared" si="3"/>
        <v>9.0909090909090912E-2</v>
      </c>
    </row>
    <row r="6" spans="5:30">
      <c r="E6" s="8">
        <f t="shared" ref="E6:E15" si="4" xml:space="preserve"> 1+E5</f>
        <v>2</v>
      </c>
      <c r="F6" s="10">
        <f t="shared" ref="F6:G15" si="5">$E6*F$4</f>
        <v>2</v>
      </c>
      <c r="G6" s="10">
        <f t="shared" si="5"/>
        <v>4</v>
      </c>
      <c r="H6" s="10">
        <f t="shared" si="2"/>
        <v>6</v>
      </c>
      <c r="I6" s="10">
        <f t="shared" si="2"/>
        <v>8</v>
      </c>
      <c r="J6" s="10">
        <f t="shared" si="2"/>
        <v>10</v>
      </c>
      <c r="K6" s="10">
        <f t="shared" si="2"/>
        <v>12</v>
      </c>
      <c r="L6" s="10">
        <f t="shared" si="2"/>
        <v>14</v>
      </c>
      <c r="M6" s="10">
        <f t="shared" si="2"/>
        <v>16</v>
      </c>
      <c r="N6" s="10">
        <f t="shared" si="2"/>
        <v>18</v>
      </c>
      <c r="O6" s="10">
        <f t="shared" si="2"/>
        <v>20</v>
      </c>
      <c r="P6" s="10">
        <f t="shared" si="2"/>
        <v>22</v>
      </c>
      <c r="Q6" s="12"/>
      <c r="S6" s="8">
        <f t="shared" ref="S6:S15" si="6" xml:space="preserve"> 1+S5</f>
        <v>2</v>
      </c>
      <c r="T6" s="10">
        <f t="shared" ref="T6:T15" si="7">$S6/T$4</f>
        <v>2</v>
      </c>
      <c r="U6" s="10">
        <f t="shared" si="3"/>
        <v>1</v>
      </c>
      <c r="V6" s="10">
        <f t="shared" si="3"/>
        <v>0.66666666666666663</v>
      </c>
      <c r="W6" s="10">
        <f t="shared" si="3"/>
        <v>0.5</v>
      </c>
      <c r="X6" s="10">
        <f t="shared" si="3"/>
        <v>0.4</v>
      </c>
      <c r="Y6" s="10">
        <f t="shared" si="3"/>
        <v>0.33333333333333331</v>
      </c>
      <c r="Z6" s="10">
        <f t="shared" si="3"/>
        <v>0.2857142857142857</v>
      </c>
      <c r="AA6" s="10">
        <f t="shared" si="3"/>
        <v>0.25</v>
      </c>
      <c r="AB6" s="10">
        <f t="shared" si="3"/>
        <v>0.22222222222222221</v>
      </c>
      <c r="AC6" s="10">
        <f t="shared" si="3"/>
        <v>0.2</v>
      </c>
      <c r="AD6" s="10">
        <f t="shared" si="3"/>
        <v>0.18181818181818182</v>
      </c>
    </row>
    <row r="7" spans="5:30">
      <c r="E7" s="8">
        <f t="shared" si="4"/>
        <v>3</v>
      </c>
      <c r="F7" s="10">
        <f t="shared" si="5"/>
        <v>3</v>
      </c>
      <c r="G7" s="10">
        <f t="shared" si="5"/>
        <v>6</v>
      </c>
      <c r="H7" s="10">
        <f t="shared" si="2"/>
        <v>9</v>
      </c>
      <c r="I7" s="10">
        <f t="shared" si="2"/>
        <v>12</v>
      </c>
      <c r="J7" s="10">
        <f t="shared" si="2"/>
        <v>15</v>
      </c>
      <c r="K7" s="10">
        <f t="shared" si="2"/>
        <v>18</v>
      </c>
      <c r="L7" s="10">
        <f t="shared" si="2"/>
        <v>21</v>
      </c>
      <c r="M7" s="10">
        <f t="shared" si="2"/>
        <v>24</v>
      </c>
      <c r="N7" s="10">
        <f t="shared" si="2"/>
        <v>27</v>
      </c>
      <c r="O7" s="10">
        <f t="shared" si="2"/>
        <v>30</v>
      </c>
      <c r="P7" s="10">
        <f t="shared" si="2"/>
        <v>33</v>
      </c>
      <c r="Q7" s="12"/>
      <c r="S7" s="8">
        <f t="shared" si="6"/>
        <v>3</v>
      </c>
      <c r="T7" s="10">
        <f t="shared" si="7"/>
        <v>3</v>
      </c>
      <c r="U7" s="10">
        <f t="shared" si="3"/>
        <v>1.5</v>
      </c>
      <c r="V7" s="10">
        <f t="shared" si="3"/>
        <v>1</v>
      </c>
      <c r="W7" s="10">
        <f t="shared" si="3"/>
        <v>0.75</v>
      </c>
      <c r="X7" s="10">
        <f t="shared" si="3"/>
        <v>0.6</v>
      </c>
      <c r="Y7" s="10">
        <f t="shared" si="3"/>
        <v>0.5</v>
      </c>
      <c r="Z7" s="10">
        <f t="shared" si="3"/>
        <v>0.42857142857142855</v>
      </c>
      <c r="AA7" s="10">
        <f t="shared" si="3"/>
        <v>0.375</v>
      </c>
      <c r="AB7" s="10">
        <f t="shared" si="3"/>
        <v>0.33333333333333331</v>
      </c>
      <c r="AC7" s="10">
        <f t="shared" si="3"/>
        <v>0.3</v>
      </c>
      <c r="AD7" s="10">
        <f t="shared" si="3"/>
        <v>0.27272727272727271</v>
      </c>
    </row>
    <row r="8" spans="5:30">
      <c r="E8" s="8">
        <f t="shared" si="4"/>
        <v>4</v>
      </c>
      <c r="F8" s="10">
        <f t="shared" si="5"/>
        <v>4</v>
      </c>
      <c r="G8" s="10">
        <f t="shared" si="5"/>
        <v>8</v>
      </c>
      <c r="H8" s="10">
        <f t="shared" si="2"/>
        <v>12</v>
      </c>
      <c r="I8" s="10">
        <f t="shared" si="2"/>
        <v>16</v>
      </c>
      <c r="J8" s="10">
        <f t="shared" si="2"/>
        <v>20</v>
      </c>
      <c r="K8" s="10">
        <f t="shared" si="2"/>
        <v>24</v>
      </c>
      <c r="L8" s="10">
        <f t="shared" si="2"/>
        <v>28</v>
      </c>
      <c r="M8" s="10">
        <f t="shared" si="2"/>
        <v>32</v>
      </c>
      <c r="N8" s="10">
        <f t="shared" si="2"/>
        <v>36</v>
      </c>
      <c r="O8" s="10">
        <f t="shared" si="2"/>
        <v>40</v>
      </c>
      <c r="P8" s="10">
        <f t="shared" si="2"/>
        <v>44</v>
      </c>
      <c r="Q8" s="12"/>
      <c r="S8" s="8">
        <f t="shared" si="6"/>
        <v>4</v>
      </c>
      <c r="T8" s="10">
        <f t="shared" si="7"/>
        <v>4</v>
      </c>
      <c r="U8" s="10">
        <f t="shared" si="3"/>
        <v>2</v>
      </c>
      <c r="V8" s="10">
        <f t="shared" si="3"/>
        <v>1.3333333333333333</v>
      </c>
      <c r="W8" s="10">
        <f t="shared" si="3"/>
        <v>1</v>
      </c>
      <c r="X8" s="10">
        <f t="shared" si="3"/>
        <v>0.8</v>
      </c>
      <c r="Y8" s="10">
        <f t="shared" si="3"/>
        <v>0.66666666666666663</v>
      </c>
      <c r="Z8" s="10">
        <f t="shared" si="3"/>
        <v>0.5714285714285714</v>
      </c>
      <c r="AA8" s="10">
        <f t="shared" si="3"/>
        <v>0.5</v>
      </c>
      <c r="AB8" s="10">
        <f t="shared" si="3"/>
        <v>0.44444444444444442</v>
      </c>
      <c r="AC8" s="10">
        <f t="shared" si="3"/>
        <v>0.4</v>
      </c>
      <c r="AD8" s="10">
        <f t="shared" si="3"/>
        <v>0.36363636363636365</v>
      </c>
    </row>
    <row r="9" spans="5:30">
      <c r="E9" s="8">
        <f t="shared" si="4"/>
        <v>5</v>
      </c>
      <c r="F9" s="10">
        <f t="shared" si="5"/>
        <v>5</v>
      </c>
      <c r="G9" s="10">
        <f t="shared" si="5"/>
        <v>10</v>
      </c>
      <c r="H9" s="10">
        <f t="shared" si="2"/>
        <v>15</v>
      </c>
      <c r="I9" s="10">
        <f t="shared" si="2"/>
        <v>20</v>
      </c>
      <c r="J9" s="10">
        <f t="shared" si="2"/>
        <v>25</v>
      </c>
      <c r="K9" s="10">
        <f t="shared" si="2"/>
        <v>30</v>
      </c>
      <c r="L9" s="10">
        <f t="shared" si="2"/>
        <v>35</v>
      </c>
      <c r="M9" s="10">
        <f t="shared" si="2"/>
        <v>40</v>
      </c>
      <c r="N9" s="10">
        <f t="shared" si="2"/>
        <v>45</v>
      </c>
      <c r="O9" s="10">
        <f t="shared" si="2"/>
        <v>50</v>
      </c>
      <c r="P9" s="10">
        <f t="shared" si="2"/>
        <v>55</v>
      </c>
      <c r="Q9" s="12"/>
      <c r="S9" s="8">
        <f t="shared" si="6"/>
        <v>5</v>
      </c>
      <c r="T9" s="10">
        <f t="shared" si="7"/>
        <v>5</v>
      </c>
      <c r="U9" s="10">
        <f t="shared" si="3"/>
        <v>2.5</v>
      </c>
      <c r="V9" s="10">
        <f t="shared" si="3"/>
        <v>1.6666666666666667</v>
      </c>
      <c r="W9" s="10">
        <f t="shared" si="3"/>
        <v>1.25</v>
      </c>
      <c r="X9" s="10">
        <f t="shared" si="3"/>
        <v>1</v>
      </c>
      <c r="Y9" s="10">
        <f t="shared" si="3"/>
        <v>0.83333333333333337</v>
      </c>
      <c r="Z9" s="10">
        <f t="shared" si="3"/>
        <v>0.7142857142857143</v>
      </c>
      <c r="AA9" s="10">
        <f t="shared" si="3"/>
        <v>0.625</v>
      </c>
      <c r="AB9" s="10">
        <f t="shared" si="3"/>
        <v>0.55555555555555558</v>
      </c>
      <c r="AC9" s="10">
        <f t="shared" si="3"/>
        <v>0.5</v>
      </c>
      <c r="AD9" s="10">
        <f t="shared" si="3"/>
        <v>0.45454545454545453</v>
      </c>
    </row>
    <row r="10" spans="5:30">
      <c r="E10" s="8">
        <f t="shared" si="4"/>
        <v>6</v>
      </c>
      <c r="F10" s="10">
        <f t="shared" si="5"/>
        <v>6</v>
      </c>
      <c r="G10" s="10">
        <f t="shared" si="5"/>
        <v>12</v>
      </c>
      <c r="H10" s="10">
        <f t="shared" si="2"/>
        <v>18</v>
      </c>
      <c r="I10" s="10">
        <f t="shared" si="2"/>
        <v>24</v>
      </c>
      <c r="J10" s="10">
        <f t="shared" si="2"/>
        <v>30</v>
      </c>
      <c r="K10" s="10">
        <f t="shared" si="2"/>
        <v>36</v>
      </c>
      <c r="L10" s="10">
        <f t="shared" si="2"/>
        <v>42</v>
      </c>
      <c r="M10" s="10">
        <f t="shared" si="2"/>
        <v>48</v>
      </c>
      <c r="N10" s="10">
        <f t="shared" si="2"/>
        <v>54</v>
      </c>
      <c r="O10" s="10">
        <f t="shared" si="2"/>
        <v>60</v>
      </c>
      <c r="P10" s="10">
        <f t="shared" si="2"/>
        <v>66</v>
      </c>
      <c r="Q10" s="12"/>
      <c r="S10" s="8">
        <f t="shared" si="6"/>
        <v>6</v>
      </c>
      <c r="T10" s="10">
        <f t="shared" si="7"/>
        <v>6</v>
      </c>
      <c r="U10" s="10">
        <f t="shared" si="3"/>
        <v>3</v>
      </c>
      <c r="V10" s="10">
        <f t="shared" si="3"/>
        <v>2</v>
      </c>
      <c r="W10" s="10">
        <f t="shared" si="3"/>
        <v>1.5</v>
      </c>
      <c r="X10" s="10">
        <f t="shared" si="3"/>
        <v>1.2</v>
      </c>
      <c r="Y10" s="10">
        <f t="shared" si="3"/>
        <v>1</v>
      </c>
      <c r="Z10" s="10">
        <f t="shared" si="3"/>
        <v>0.8571428571428571</v>
      </c>
      <c r="AA10" s="10">
        <f t="shared" si="3"/>
        <v>0.75</v>
      </c>
      <c r="AB10" s="10">
        <f t="shared" si="3"/>
        <v>0.66666666666666663</v>
      </c>
      <c r="AC10" s="10">
        <f t="shared" si="3"/>
        <v>0.6</v>
      </c>
      <c r="AD10" s="10">
        <f t="shared" si="3"/>
        <v>0.54545454545454541</v>
      </c>
    </row>
    <row r="11" spans="5:30">
      <c r="E11" s="8">
        <f t="shared" si="4"/>
        <v>7</v>
      </c>
      <c r="F11" s="10">
        <f t="shared" si="5"/>
        <v>7</v>
      </c>
      <c r="G11" s="10">
        <f t="shared" si="5"/>
        <v>14</v>
      </c>
      <c r="H11" s="10">
        <f t="shared" si="2"/>
        <v>21</v>
      </c>
      <c r="I11" s="10">
        <f t="shared" si="2"/>
        <v>28</v>
      </c>
      <c r="J11" s="10">
        <f t="shared" si="2"/>
        <v>35</v>
      </c>
      <c r="K11" s="10">
        <f t="shared" si="2"/>
        <v>42</v>
      </c>
      <c r="L11" s="10">
        <f t="shared" si="2"/>
        <v>49</v>
      </c>
      <c r="M11" s="10">
        <f t="shared" si="2"/>
        <v>56</v>
      </c>
      <c r="N11" s="10">
        <f t="shared" si="2"/>
        <v>63</v>
      </c>
      <c r="O11" s="10">
        <f t="shared" si="2"/>
        <v>70</v>
      </c>
      <c r="P11" s="10">
        <f t="shared" si="2"/>
        <v>77</v>
      </c>
      <c r="Q11" s="12"/>
      <c r="S11" s="8">
        <f t="shared" si="6"/>
        <v>7</v>
      </c>
      <c r="T11" s="10">
        <f t="shared" si="7"/>
        <v>7</v>
      </c>
      <c r="U11" s="10">
        <f t="shared" si="3"/>
        <v>3.5</v>
      </c>
      <c r="V11" s="10">
        <f t="shared" si="3"/>
        <v>2.3333333333333335</v>
      </c>
      <c r="W11" s="10">
        <f t="shared" si="3"/>
        <v>1.75</v>
      </c>
      <c r="X11" s="10">
        <f t="shared" si="3"/>
        <v>1.4</v>
      </c>
      <c r="Y11" s="10">
        <f t="shared" si="3"/>
        <v>1.1666666666666667</v>
      </c>
      <c r="Z11" s="10">
        <f t="shared" si="3"/>
        <v>1</v>
      </c>
      <c r="AA11" s="10">
        <f t="shared" si="3"/>
        <v>0.875</v>
      </c>
      <c r="AB11" s="10">
        <f t="shared" si="3"/>
        <v>0.77777777777777779</v>
      </c>
      <c r="AC11" s="10">
        <f t="shared" si="3"/>
        <v>0.7</v>
      </c>
      <c r="AD11" s="10">
        <f t="shared" si="3"/>
        <v>0.63636363636363635</v>
      </c>
    </row>
    <row r="12" spans="5:30">
      <c r="E12" s="8">
        <f t="shared" si="4"/>
        <v>8</v>
      </c>
      <c r="F12" s="10">
        <f t="shared" si="5"/>
        <v>8</v>
      </c>
      <c r="G12" s="10">
        <f t="shared" si="5"/>
        <v>16</v>
      </c>
      <c r="H12" s="10">
        <f t="shared" si="2"/>
        <v>24</v>
      </c>
      <c r="I12" s="10">
        <f t="shared" si="2"/>
        <v>32</v>
      </c>
      <c r="J12" s="10">
        <f t="shared" si="2"/>
        <v>40</v>
      </c>
      <c r="K12" s="10">
        <f t="shared" si="2"/>
        <v>48</v>
      </c>
      <c r="L12" s="10">
        <f t="shared" si="2"/>
        <v>56</v>
      </c>
      <c r="M12" s="10">
        <f t="shared" si="2"/>
        <v>64</v>
      </c>
      <c r="N12" s="10">
        <f t="shared" si="2"/>
        <v>72</v>
      </c>
      <c r="O12" s="10">
        <f t="shared" si="2"/>
        <v>80</v>
      </c>
      <c r="P12" s="10">
        <f t="shared" si="2"/>
        <v>88</v>
      </c>
      <c r="Q12" s="12"/>
      <c r="S12" s="8">
        <f t="shared" si="6"/>
        <v>8</v>
      </c>
      <c r="T12" s="10">
        <f t="shared" si="7"/>
        <v>8</v>
      </c>
      <c r="U12" s="10">
        <f t="shared" si="3"/>
        <v>4</v>
      </c>
      <c r="V12" s="10">
        <f t="shared" si="3"/>
        <v>2.6666666666666665</v>
      </c>
      <c r="W12" s="10">
        <f t="shared" si="3"/>
        <v>2</v>
      </c>
      <c r="X12" s="10">
        <f t="shared" si="3"/>
        <v>1.6</v>
      </c>
      <c r="Y12" s="10">
        <f t="shared" si="3"/>
        <v>1.3333333333333333</v>
      </c>
      <c r="Z12" s="10">
        <f t="shared" si="3"/>
        <v>1.1428571428571428</v>
      </c>
      <c r="AA12" s="10">
        <f t="shared" si="3"/>
        <v>1</v>
      </c>
      <c r="AB12" s="10">
        <f t="shared" si="3"/>
        <v>0.88888888888888884</v>
      </c>
      <c r="AC12" s="10">
        <f t="shared" si="3"/>
        <v>0.8</v>
      </c>
      <c r="AD12" s="10">
        <f t="shared" si="3"/>
        <v>0.72727272727272729</v>
      </c>
    </row>
    <row r="13" spans="5:30">
      <c r="E13" s="8">
        <f t="shared" si="4"/>
        <v>9</v>
      </c>
      <c r="F13" s="10">
        <f t="shared" si="5"/>
        <v>9</v>
      </c>
      <c r="G13" s="10">
        <f t="shared" si="5"/>
        <v>18</v>
      </c>
      <c r="H13" s="10">
        <f t="shared" si="2"/>
        <v>27</v>
      </c>
      <c r="I13" s="10">
        <f t="shared" si="2"/>
        <v>36</v>
      </c>
      <c r="J13" s="10">
        <f t="shared" si="2"/>
        <v>45</v>
      </c>
      <c r="K13" s="10">
        <f t="shared" si="2"/>
        <v>54</v>
      </c>
      <c r="L13" s="10">
        <f t="shared" si="2"/>
        <v>63</v>
      </c>
      <c r="M13" s="10">
        <f t="shared" si="2"/>
        <v>72</v>
      </c>
      <c r="N13" s="10">
        <f t="shared" si="2"/>
        <v>81</v>
      </c>
      <c r="O13" s="10">
        <f t="shared" si="2"/>
        <v>90</v>
      </c>
      <c r="P13" s="10">
        <f t="shared" si="2"/>
        <v>99</v>
      </c>
      <c r="Q13" s="12"/>
      <c r="S13" s="8">
        <f t="shared" si="6"/>
        <v>9</v>
      </c>
      <c r="T13" s="10">
        <f t="shared" si="7"/>
        <v>9</v>
      </c>
      <c r="U13" s="10">
        <f t="shared" si="3"/>
        <v>4.5</v>
      </c>
      <c r="V13" s="10">
        <f t="shared" si="3"/>
        <v>3</v>
      </c>
      <c r="W13" s="10">
        <f t="shared" si="3"/>
        <v>2.25</v>
      </c>
      <c r="X13" s="10">
        <f t="shared" si="3"/>
        <v>1.8</v>
      </c>
      <c r="Y13" s="10">
        <f t="shared" si="3"/>
        <v>1.5</v>
      </c>
      <c r="Z13" s="10">
        <f t="shared" si="3"/>
        <v>1.2857142857142858</v>
      </c>
      <c r="AA13" s="10">
        <f t="shared" si="3"/>
        <v>1.125</v>
      </c>
      <c r="AB13" s="10">
        <f t="shared" si="3"/>
        <v>1</v>
      </c>
      <c r="AC13" s="10">
        <f t="shared" si="3"/>
        <v>0.9</v>
      </c>
      <c r="AD13" s="10">
        <f t="shared" si="3"/>
        <v>0.81818181818181823</v>
      </c>
    </row>
    <row r="14" spans="5:30">
      <c r="E14" s="8">
        <f t="shared" si="4"/>
        <v>10</v>
      </c>
      <c r="F14" s="10">
        <f t="shared" si="5"/>
        <v>10</v>
      </c>
      <c r="G14" s="10">
        <f t="shared" si="5"/>
        <v>20</v>
      </c>
      <c r="H14" s="10">
        <f t="shared" si="2"/>
        <v>30</v>
      </c>
      <c r="I14" s="10">
        <f t="shared" si="2"/>
        <v>40</v>
      </c>
      <c r="J14" s="10">
        <f t="shared" si="2"/>
        <v>50</v>
      </c>
      <c r="K14" s="10">
        <f t="shared" si="2"/>
        <v>60</v>
      </c>
      <c r="L14" s="10">
        <f t="shared" si="2"/>
        <v>70</v>
      </c>
      <c r="M14" s="10">
        <f t="shared" si="2"/>
        <v>80</v>
      </c>
      <c r="N14" s="10">
        <f t="shared" si="2"/>
        <v>90</v>
      </c>
      <c r="O14" s="10">
        <f t="shared" si="2"/>
        <v>100</v>
      </c>
      <c r="P14" s="10">
        <f t="shared" si="2"/>
        <v>110</v>
      </c>
      <c r="Q14" s="12"/>
      <c r="S14" s="8">
        <f t="shared" si="6"/>
        <v>10</v>
      </c>
      <c r="T14" s="10">
        <f t="shared" si="7"/>
        <v>10</v>
      </c>
      <c r="U14" s="10">
        <f t="shared" si="3"/>
        <v>5</v>
      </c>
      <c r="V14" s="10">
        <f t="shared" si="3"/>
        <v>3.3333333333333335</v>
      </c>
      <c r="W14" s="10">
        <f t="shared" si="3"/>
        <v>2.5</v>
      </c>
      <c r="X14" s="10">
        <f t="shared" si="3"/>
        <v>2</v>
      </c>
      <c r="Y14" s="10">
        <f t="shared" si="3"/>
        <v>1.6666666666666667</v>
      </c>
      <c r="Z14" s="10">
        <f t="shared" si="3"/>
        <v>1.4285714285714286</v>
      </c>
      <c r="AA14" s="10">
        <f t="shared" si="3"/>
        <v>1.25</v>
      </c>
      <c r="AB14" s="10">
        <f t="shared" si="3"/>
        <v>1.1111111111111112</v>
      </c>
      <c r="AC14" s="10">
        <f t="shared" si="3"/>
        <v>1</v>
      </c>
      <c r="AD14" s="10">
        <f t="shared" si="3"/>
        <v>0.90909090909090906</v>
      </c>
    </row>
    <row r="15" spans="5:30" ht="27" thickBot="1">
      <c r="E15" s="9">
        <f t="shared" si="4"/>
        <v>11</v>
      </c>
      <c r="F15" s="10">
        <f t="shared" si="5"/>
        <v>11</v>
      </c>
      <c r="G15" s="10">
        <f t="shared" si="5"/>
        <v>22</v>
      </c>
      <c r="H15" s="10">
        <f t="shared" si="2"/>
        <v>33</v>
      </c>
      <c r="I15" s="10">
        <f t="shared" si="2"/>
        <v>44</v>
      </c>
      <c r="J15" s="10">
        <f t="shared" si="2"/>
        <v>55</v>
      </c>
      <c r="K15" s="10">
        <f t="shared" si="2"/>
        <v>66</v>
      </c>
      <c r="L15" s="10">
        <f t="shared" si="2"/>
        <v>77</v>
      </c>
      <c r="M15" s="10">
        <f t="shared" si="2"/>
        <v>88</v>
      </c>
      <c r="N15" s="10">
        <f t="shared" si="2"/>
        <v>99</v>
      </c>
      <c r="O15" s="10">
        <f t="shared" si="2"/>
        <v>110</v>
      </c>
      <c r="P15" s="10">
        <f t="shared" si="2"/>
        <v>121</v>
      </c>
      <c r="Q15" s="12"/>
      <c r="S15" s="9">
        <f t="shared" si="6"/>
        <v>11</v>
      </c>
      <c r="T15" s="10">
        <f t="shared" si="7"/>
        <v>11</v>
      </c>
      <c r="U15" s="10">
        <f t="shared" si="3"/>
        <v>5.5</v>
      </c>
      <c r="V15" s="10">
        <f t="shared" si="3"/>
        <v>3.6666666666666665</v>
      </c>
      <c r="W15" s="10">
        <f t="shared" si="3"/>
        <v>2.75</v>
      </c>
      <c r="X15" s="10">
        <f t="shared" si="3"/>
        <v>2.2000000000000002</v>
      </c>
      <c r="Y15" s="10">
        <f t="shared" si="3"/>
        <v>1.8333333333333333</v>
      </c>
      <c r="Z15" s="10">
        <f t="shared" si="3"/>
        <v>1.5714285714285714</v>
      </c>
      <c r="AA15" s="10">
        <f t="shared" si="3"/>
        <v>1.375</v>
      </c>
      <c r="AB15" s="10">
        <f t="shared" si="3"/>
        <v>1.2222222222222223</v>
      </c>
      <c r="AC15" s="10">
        <f t="shared" si="3"/>
        <v>1.1000000000000001</v>
      </c>
      <c r="AD15" s="10">
        <f t="shared" si="3"/>
        <v>1</v>
      </c>
    </row>
    <row r="18" spans="5:17">
      <c r="F18" s="99" t="s">
        <v>32</v>
      </c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</row>
    <row r="19" spans="5:17">
      <c r="E19" s="4">
        <v>1</v>
      </c>
      <c r="F19" s="4">
        <f>E19+1</f>
        <v>2</v>
      </c>
      <c r="G19" s="4">
        <f t="shared" ref="G19:Q19" si="8">F19+1</f>
        <v>3</v>
      </c>
      <c r="H19" s="4">
        <f t="shared" si="8"/>
        <v>4</v>
      </c>
      <c r="I19" s="4">
        <f t="shared" si="8"/>
        <v>5</v>
      </c>
      <c r="J19" s="4">
        <f t="shared" si="8"/>
        <v>6</v>
      </c>
      <c r="K19" s="4">
        <f t="shared" si="8"/>
        <v>7</v>
      </c>
      <c r="L19" s="4">
        <f t="shared" si="8"/>
        <v>8</v>
      </c>
      <c r="M19" s="4">
        <f t="shared" si="8"/>
        <v>9</v>
      </c>
      <c r="N19" s="4">
        <f>M19+1</f>
        <v>10</v>
      </c>
      <c r="O19" s="4">
        <f t="shared" si="8"/>
        <v>11</v>
      </c>
      <c r="P19" s="4">
        <f t="shared" si="8"/>
        <v>12</v>
      </c>
      <c r="Q19" s="4">
        <f t="shared" si="8"/>
        <v>13</v>
      </c>
    </row>
    <row r="20" spans="5:17">
      <c r="E20" s="4">
        <f>E19+1</f>
        <v>2</v>
      </c>
      <c r="F20" s="19">
        <f>$E20 * F$19</f>
        <v>4</v>
      </c>
      <c r="G20" s="19">
        <f t="shared" ref="G20:Q31" si="9">$E20 * G$19</f>
        <v>6</v>
      </c>
      <c r="H20" s="19">
        <f t="shared" si="9"/>
        <v>8</v>
      </c>
      <c r="I20" s="19">
        <f t="shared" si="9"/>
        <v>10</v>
      </c>
      <c r="J20" s="19">
        <f t="shared" si="9"/>
        <v>12</v>
      </c>
      <c r="K20" s="19">
        <f t="shared" si="9"/>
        <v>14</v>
      </c>
      <c r="L20" s="19">
        <f t="shared" si="9"/>
        <v>16</v>
      </c>
      <c r="M20" s="19">
        <f t="shared" si="9"/>
        <v>18</v>
      </c>
      <c r="N20" s="19">
        <f t="shared" si="9"/>
        <v>20</v>
      </c>
      <c r="O20" s="19">
        <f t="shared" si="9"/>
        <v>22</v>
      </c>
      <c r="P20" s="19">
        <f t="shared" si="9"/>
        <v>24</v>
      </c>
      <c r="Q20" s="19">
        <f t="shared" si="9"/>
        <v>26</v>
      </c>
    </row>
    <row r="21" spans="5:17">
      <c r="E21" s="4">
        <f t="shared" ref="E21:E30" si="10">E20+1</f>
        <v>3</v>
      </c>
      <c r="F21" s="19">
        <f t="shared" ref="F21:F31" si="11">$E21 * F$19</f>
        <v>6</v>
      </c>
      <c r="G21" s="19">
        <f t="shared" si="9"/>
        <v>9</v>
      </c>
      <c r="H21" s="19">
        <f t="shared" si="9"/>
        <v>12</v>
      </c>
      <c r="I21" s="19">
        <f t="shared" si="9"/>
        <v>15</v>
      </c>
      <c r="J21" s="19">
        <f t="shared" si="9"/>
        <v>18</v>
      </c>
      <c r="K21" s="19">
        <f t="shared" si="9"/>
        <v>21</v>
      </c>
      <c r="L21" s="19">
        <f t="shared" si="9"/>
        <v>24</v>
      </c>
      <c r="M21" s="19">
        <f t="shared" si="9"/>
        <v>27</v>
      </c>
      <c r="N21" s="19">
        <f t="shared" si="9"/>
        <v>30</v>
      </c>
      <c r="O21" s="19">
        <f t="shared" si="9"/>
        <v>33</v>
      </c>
      <c r="P21" s="19">
        <f t="shared" si="9"/>
        <v>36</v>
      </c>
      <c r="Q21" s="19">
        <f t="shared" si="9"/>
        <v>39</v>
      </c>
    </row>
    <row r="22" spans="5:17">
      <c r="E22" s="4">
        <f t="shared" si="10"/>
        <v>4</v>
      </c>
      <c r="F22" s="19">
        <f t="shared" si="11"/>
        <v>8</v>
      </c>
      <c r="G22" s="19">
        <f t="shared" si="9"/>
        <v>12</v>
      </c>
      <c r="H22" s="19">
        <f t="shared" si="9"/>
        <v>16</v>
      </c>
      <c r="I22" s="19">
        <f t="shared" si="9"/>
        <v>20</v>
      </c>
      <c r="J22" s="19">
        <f t="shared" si="9"/>
        <v>24</v>
      </c>
      <c r="K22" s="19">
        <f t="shared" si="9"/>
        <v>28</v>
      </c>
      <c r="L22" s="19">
        <f t="shared" si="9"/>
        <v>32</v>
      </c>
      <c r="M22" s="19">
        <f t="shared" si="9"/>
        <v>36</v>
      </c>
      <c r="N22" s="19">
        <f t="shared" si="9"/>
        <v>40</v>
      </c>
      <c r="O22" s="19">
        <f t="shared" si="9"/>
        <v>44</v>
      </c>
      <c r="P22" s="19">
        <f t="shared" si="9"/>
        <v>48</v>
      </c>
      <c r="Q22" s="19">
        <f t="shared" si="9"/>
        <v>52</v>
      </c>
    </row>
    <row r="23" spans="5:17">
      <c r="E23" s="4">
        <f t="shared" si="10"/>
        <v>5</v>
      </c>
      <c r="F23" s="19">
        <f t="shared" si="11"/>
        <v>10</v>
      </c>
      <c r="G23" s="19">
        <f t="shared" si="9"/>
        <v>15</v>
      </c>
      <c r="H23" s="19">
        <f t="shared" si="9"/>
        <v>20</v>
      </c>
      <c r="I23" s="19">
        <f t="shared" si="9"/>
        <v>25</v>
      </c>
      <c r="J23" s="19">
        <f t="shared" si="9"/>
        <v>30</v>
      </c>
      <c r="K23" s="19">
        <f t="shared" si="9"/>
        <v>35</v>
      </c>
      <c r="L23" s="19">
        <f t="shared" si="9"/>
        <v>40</v>
      </c>
      <c r="M23" s="19">
        <f t="shared" si="9"/>
        <v>45</v>
      </c>
      <c r="N23" s="19">
        <f t="shared" si="9"/>
        <v>50</v>
      </c>
      <c r="O23" s="19">
        <f t="shared" si="9"/>
        <v>55</v>
      </c>
      <c r="P23" s="19">
        <f t="shared" si="9"/>
        <v>60</v>
      </c>
      <c r="Q23" s="19">
        <f t="shared" si="9"/>
        <v>65</v>
      </c>
    </row>
    <row r="24" spans="5:17">
      <c r="E24" s="4">
        <f t="shared" si="10"/>
        <v>6</v>
      </c>
      <c r="F24" s="19">
        <f t="shared" si="11"/>
        <v>12</v>
      </c>
      <c r="G24" s="19">
        <f t="shared" si="9"/>
        <v>18</v>
      </c>
      <c r="H24" s="19">
        <f t="shared" si="9"/>
        <v>24</v>
      </c>
      <c r="I24" s="19">
        <f t="shared" si="9"/>
        <v>30</v>
      </c>
      <c r="J24" s="19">
        <f t="shared" si="9"/>
        <v>36</v>
      </c>
      <c r="K24" s="19">
        <f t="shared" si="9"/>
        <v>42</v>
      </c>
      <c r="L24" s="19">
        <f t="shared" si="9"/>
        <v>48</v>
      </c>
      <c r="M24" s="19">
        <f t="shared" si="9"/>
        <v>54</v>
      </c>
      <c r="N24" s="19">
        <f t="shared" si="9"/>
        <v>60</v>
      </c>
      <c r="O24" s="19">
        <f t="shared" si="9"/>
        <v>66</v>
      </c>
      <c r="P24" s="19">
        <f t="shared" si="9"/>
        <v>72</v>
      </c>
      <c r="Q24" s="19">
        <f t="shared" si="9"/>
        <v>78</v>
      </c>
    </row>
    <row r="25" spans="5:17">
      <c r="E25" s="4">
        <f t="shared" si="10"/>
        <v>7</v>
      </c>
      <c r="F25" s="19">
        <f t="shared" si="11"/>
        <v>14</v>
      </c>
      <c r="G25" s="19">
        <f t="shared" si="9"/>
        <v>21</v>
      </c>
      <c r="H25" s="19">
        <f t="shared" si="9"/>
        <v>28</v>
      </c>
      <c r="I25" s="19">
        <f t="shared" si="9"/>
        <v>35</v>
      </c>
      <c r="J25" s="19">
        <f t="shared" si="9"/>
        <v>42</v>
      </c>
      <c r="K25" s="19">
        <f t="shared" si="9"/>
        <v>49</v>
      </c>
      <c r="L25" s="19">
        <f t="shared" si="9"/>
        <v>56</v>
      </c>
      <c r="M25" s="19">
        <f t="shared" si="9"/>
        <v>63</v>
      </c>
      <c r="N25" s="19">
        <f t="shared" si="9"/>
        <v>70</v>
      </c>
      <c r="O25" s="19">
        <f t="shared" si="9"/>
        <v>77</v>
      </c>
      <c r="P25" s="19">
        <f t="shared" si="9"/>
        <v>84</v>
      </c>
      <c r="Q25" s="19">
        <f t="shared" si="9"/>
        <v>91</v>
      </c>
    </row>
    <row r="26" spans="5:17">
      <c r="E26" s="4">
        <f t="shared" si="10"/>
        <v>8</v>
      </c>
      <c r="F26" s="19">
        <f t="shared" si="11"/>
        <v>16</v>
      </c>
      <c r="G26" s="19">
        <f t="shared" si="9"/>
        <v>24</v>
      </c>
      <c r="H26" s="19">
        <f t="shared" si="9"/>
        <v>32</v>
      </c>
      <c r="I26" s="19">
        <f t="shared" si="9"/>
        <v>40</v>
      </c>
      <c r="J26" s="19">
        <f t="shared" si="9"/>
        <v>48</v>
      </c>
      <c r="K26" s="19">
        <f t="shared" si="9"/>
        <v>56</v>
      </c>
      <c r="L26" s="19">
        <f t="shared" si="9"/>
        <v>64</v>
      </c>
      <c r="M26" s="19">
        <f t="shared" si="9"/>
        <v>72</v>
      </c>
      <c r="N26" s="19">
        <f t="shared" si="9"/>
        <v>80</v>
      </c>
      <c r="O26" s="19">
        <f t="shared" si="9"/>
        <v>88</v>
      </c>
      <c r="P26" s="19">
        <f t="shared" si="9"/>
        <v>96</v>
      </c>
      <c r="Q26" s="19">
        <f t="shared" si="9"/>
        <v>104</v>
      </c>
    </row>
    <row r="27" spans="5:17">
      <c r="E27" s="4">
        <f t="shared" si="10"/>
        <v>9</v>
      </c>
      <c r="F27" s="19">
        <f t="shared" si="11"/>
        <v>18</v>
      </c>
      <c r="G27" s="19">
        <f t="shared" si="9"/>
        <v>27</v>
      </c>
      <c r="H27" s="19">
        <f t="shared" si="9"/>
        <v>36</v>
      </c>
      <c r="I27" s="19">
        <f t="shared" si="9"/>
        <v>45</v>
      </c>
      <c r="J27" s="19">
        <f t="shared" si="9"/>
        <v>54</v>
      </c>
      <c r="K27" s="19">
        <f t="shared" si="9"/>
        <v>63</v>
      </c>
      <c r="L27" s="19">
        <f t="shared" si="9"/>
        <v>72</v>
      </c>
      <c r="M27" s="19">
        <f t="shared" si="9"/>
        <v>81</v>
      </c>
      <c r="N27" s="19">
        <f t="shared" si="9"/>
        <v>90</v>
      </c>
      <c r="O27" s="19">
        <f t="shared" si="9"/>
        <v>99</v>
      </c>
      <c r="P27" s="19">
        <f t="shared" si="9"/>
        <v>108</v>
      </c>
      <c r="Q27" s="19">
        <f t="shared" si="9"/>
        <v>117</v>
      </c>
    </row>
    <row r="28" spans="5:17">
      <c r="E28" s="4">
        <f t="shared" si="10"/>
        <v>10</v>
      </c>
      <c r="F28" s="19">
        <f t="shared" si="11"/>
        <v>20</v>
      </c>
      <c r="G28" s="19">
        <f t="shared" si="9"/>
        <v>30</v>
      </c>
      <c r="H28" s="19">
        <f t="shared" si="9"/>
        <v>40</v>
      </c>
      <c r="I28" s="19">
        <f t="shared" si="9"/>
        <v>50</v>
      </c>
      <c r="J28" s="19">
        <f t="shared" si="9"/>
        <v>60</v>
      </c>
      <c r="K28" s="19">
        <f t="shared" si="9"/>
        <v>70</v>
      </c>
      <c r="L28" s="19">
        <f t="shared" si="9"/>
        <v>80</v>
      </c>
      <c r="M28" s="19">
        <f t="shared" si="9"/>
        <v>90</v>
      </c>
      <c r="N28" s="19">
        <f t="shared" si="9"/>
        <v>100</v>
      </c>
      <c r="O28" s="19">
        <f t="shared" si="9"/>
        <v>110</v>
      </c>
      <c r="P28" s="19">
        <f t="shared" si="9"/>
        <v>120</v>
      </c>
      <c r="Q28" s="19">
        <f t="shared" si="9"/>
        <v>130</v>
      </c>
    </row>
    <row r="29" spans="5:17">
      <c r="E29" s="4">
        <f>E28+1</f>
        <v>11</v>
      </c>
      <c r="F29" s="19">
        <f t="shared" si="11"/>
        <v>22</v>
      </c>
      <c r="G29" s="19">
        <f t="shared" si="9"/>
        <v>33</v>
      </c>
      <c r="H29" s="19">
        <f t="shared" si="9"/>
        <v>44</v>
      </c>
      <c r="I29" s="19">
        <f t="shared" si="9"/>
        <v>55</v>
      </c>
      <c r="J29" s="19">
        <f t="shared" si="9"/>
        <v>66</v>
      </c>
      <c r="K29" s="19">
        <f t="shared" si="9"/>
        <v>77</v>
      </c>
      <c r="L29" s="19">
        <f t="shared" si="9"/>
        <v>88</v>
      </c>
      <c r="M29" s="19">
        <f t="shared" si="9"/>
        <v>99</v>
      </c>
      <c r="N29" s="19">
        <f t="shared" si="9"/>
        <v>110</v>
      </c>
      <c r="O29" s="19">
        <f t="shared" si="9"/>
        <v>121</v>
      </c>
      <c r="P29" s="19">
        <f t="shared" si="9"/>
        <v>132</v>
      </c>
      <c r="Q29" s="19">
        <f t="shared" si="9"/>
        <v>143</v>
      </c>
    </row>
    <row r="30" spans="5:17">
      <c r="E30" s="4">
        <f t="shared" si="10"/>
        <v>12</v>
      </c>
      <c r="F30" s="19">
        <f t="shared" si="11"/>
        <v>24</v>
      </c>
      <c r="G30" s="19">
        <f t="shared" si="9"/>
        <v>36</v>
      </c>
      <c r="H30" s="19">
        <f t="shared" si="9"/>
        <v>48</v>
      </c>
      <c r="I30" s="19">
        <f t="shared" si="9"/>
        <v>60</v>
      </c>
      <c r="J30" s="19">
        <f t="shared" si="9"/>
        <v>72</v>
      </c>
      <c r="K30" s="19">
        <f t="shared" si="9"/>
        <v>84</v>
      </c>
      <c r="L30" s="19">
        <f t="shared" si="9"/>
        <v>96</v>
      </c>
      <c r="M30" s="19">
        <f t="shared" si="9"/>
        <v>108</v>
      </c>
      <c r="N30" s="19">
        <f t="shared" si="9"/>
        <v>120</v>
      </c>
      <c r="O30" s="19">
        <f t="shared" si="9"/>
        <v>132</v>
      </c>
      <c r="P30" s="19">
        <f t="shared" si="9"/>
        <v>144</v>
      </c>
      <c r="Q30" s="19">
        <f t="shared" si="9"/>
        <v>156</v>
      </c>
    </row>
    <row r="31" spans="5:17">
      <c r="E31" s="4">
        <f>E30+1</f>
        <v>13</v>
      </c>
      <c r="F31" s="19">
        <f t="shared" si="11"/>
        <v>26</v>
      </c>
      <c r="G31" s="19">
        <f t="shared" si="9"/>
        <v>39</v>
      </c>
      <c r="H31" s="19">
        <f t="shared" si="9"/>
        <v>52</v>
      </c>
      <c r="I31" s="19">
        <f t="shared" si="9"/>
        <v>65</v>
      </c>
      <c r="J31" s="19">
        <f t="shared" si="9"/>
        <v>78</v>
      </c>
      <c r="K31" s="19">
        <f t="shared" si="9"/>
        <v>91</v>
      </c>
      <c r="L31" s="19">
        <f t="shared" si="9"/>
        <v>104</v>
      </c>
      <c r="M31" s="19">
        <f t="shared" si="9"/>
        <v>117</v>
      </c>
      <c r="N31" s="19">
        <f t="shared" si="9"/>
        <v>130</v>
      </c>
      <c r="O31" s="19">
        <f t="shared" si="9"/>
        <v>143</v>
      </c>
      <c r="P31" s="19">
        <f t="shared" si="9"/>
        <v>156</v>
      </c>
      <c r="Q31" s="19">
        <f t="shared" si="9"/>
        <v>169</v>
      </c>
    </row>
  </sheetData>
  <mergeCells count="3">
    <mergeCell ref="E3:P3"/>
    <mergeCell ref="S2:AD2"/>
    <mergeCell ref="F18:Q18"/>
  </mergeCells>
  <conditionalFormatting sqref="F5:P15">
    <cfRule type="expression" dxfId="30" priority="2">
      <formula>ISODD(F5)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EE33-EF8F-EA4B-AC85-464C5C45C750}">
  <sheetPr codeName="Sheet6"/>
  <dimension ref="A1:AN23"/>
  <sheetViews>
    <sheetView topLeftCell="D4" zoomScale="107" zoomScaleNormal="100" workbookViewId="0">
      <selection activeCell="C9" sqref="C9"/>
    </sheetView>
  </sheetViews>
  <sheetFormatPr baseColWidth="10" defaultColWidth="8.83203125" defaultRowHeight="20" customHeight="1"/>
  <cols>
    <col min="1" max="16384" width="8.83203125" style="48"/>
  </cols>
  <sheetData>
    <row r="1" spans="1:40" ht="20" customHeight="1"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</row>
    <row r="2" spans="1:40" ht="20" customHeight="1">
      <c r="A2" s="52">
        <v>0</v>
      </c>
      <c r="B2" s="51">
        <v>0</v>
      </c>
      <c r="C2" s="51">
        <v>0</v>
      </c>
      <c r="D2" s="51">
        <v>0</v>
      </c>
      <c r="E2" s="51">
        <v>0</v>
      </c>
      <c r="F2" s="51">
        <v>0</v>
      </c>
      <c r="G2" s="51">
        <v>0</v>
      </c>
      <c r="H2" s="51">
        <v>0</v>
      </c>
      <c r="I2" s="51">
        <v>0</v>
      </c>
      <c r="J2" s="51">
        <v>0</v>
      </c>
      <c r="K2" s="51">
        <v>0</v>
      </c>
      <c r="L2" s="51">
        <v>0</v>
      </c>
      <c r="M2" s="51">
        <v>0</v>
      </c>
      <c r="N2" s="51">
        <v>0</v>
      </c>
      <c r="O2" s="51">
        <v>0</v>
      </c>
      <c r="P2" s="51">
        <v>0</v>
      </c>
      <c r="Q2" s="51">
        <v>0</v>
      </c>
      <c r="R2" s="51">
        <v>0</v>
      </c>
      <c r="S2" s="51">
        <v>0</v>
      </c>
      <c r="T2" s="51">
        <v>0</v>
      </c>
      <c r="U2" s="51">
        <v>1</v>
      </c>
      <c r="V2" s="51">
        <v>0</v>
      </c>
      <c r="W2" s="51">
        <v>0</v>
      </c>
      <c r="X2" s="51">
        <v>0</v>
      </c>
      <c r="Y2" s="51">
        <v>0</v>
      </c>
      <c r="Z2" s="51">
        <v>0</v>
      </c>
      <c r="AA2" s="51">
        <v>0</v>
      </c>
      <c r="AB2" s="51">
        <v>0</v>
      </c>
      <c r="AC2" s="51">
        <v>0</v>
      </c>
      <c r="AD2" s="51">
        <v>0</v>
      </c>
      <c r="AE2" s="51">
        <v>0</v>
      </c>
      <c r="AF2" s="51">
        <v>0</v>
      </c>
      <c r="AG2" s="51">
        <v>0</v>
      </c>
      <c r="AH2" s="51">
        <v>0</v>
      </c>
      <c r="AI2" s="51">
        <v>0</v>
      </c>
      <c r="AJ2" s="51">
        <v>0</v>
      </c>
      <c r="AK2" s="51">
        <v>0</v>
      </c>
      <c r="AL2" s="51">
        <v>0</v>
      </c>
      <c r="AM2" s="51">
        <v>0</v>
      </c>
      <c r="AN2" s="51">
        <v>0</v>
      </c>
    </row>
    <row r="3" spans="1:40" ht="20" customHeight="1">
      <c r="A3" s="52">
        <v>1</v>
      </c>
      <c r="B3" s="51">
        <v>0</v>
      </c>
      <c r="C3" s="51">
        <v>0</v>
      </c>
      <c r="D3" s="51">
        <v>0</v>
      </c>
      <c r="E3" s="51">
        <v>0</v>
      </c>
      <c r="F3" s="51">
        <v>0</v>
      </c>
      <c r="G3" s="51">
        <v>0</v>
      </c>
      <c r="H3" s="51">
        <v>0</v>
      </c>
      <c r="I3" s="51">
        <v>0</v>
      </c>
      <c r="J3" s="51">
        <v>0</v>
      </c>
      <c r="K3" s="51">
        <v>0</v>
      </c>
      <c r="L3" s="51">
        <v>0</v>
      </c>
      <c r="M3" s="51">
        <v>0</v>
      </c>
      <c r="N3" s="51">
        <v>0</v>
      </c>
      <c r="O3" s="51">
        <v>0</v>
      </c>
      <c r="P3" s="51">
        <v>0</v>
      </c>
      <c r="Q3" s="51">
        <v>0</v>
      </c>
      <c r="R3" s="51">
        <v>0</v>
      </c>
      <c r="S3" s="51">
        <v>0</v>
      </c>
      <c r="T3" s="51">
        <f t="shared" ref="N3:W18" si="0">IF(IF(S2="",0,S2)+IF(U2="",0,U2)=0,"",IF(S2="",0,S2)+IF(U2="",0,U2))</f>
        <v>1</v>
      </c>
      <c r="U3" s="51" t="str">
        <f t="shared" si="0"/>
        <v/>
      </c>
      <c r="V3" s="51">
        <f t="shared" si="0"/>
        <v>1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</row>
    <row r="4" spans="1:40" ht="20" customHeight="1">
      <c r="A4" s="52">
        <v>2</v>
      </c>
      <c r="B4" s="51">
        <v>0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0</v>
      </c>
      <c r="N4" s="51">
        <v>0</v>
      </c>
      <c r="O4" s="51">
        <v>0</v>
      </c>
      <c r="P4" s="51">
        <v>0</v>
      </c>
      <c r="Q4" s="51">
        <v>0</v>
      </c>
      <c r="R4" s="51">
        <v>0</v>
      </c>
      <c r="S4" s="51">
        <f t="shared" si="0"/>
        <v>1</v>
      </c>
      <c r="T4" s="51" t="str">
        <f t="shared" si="0"/>
        <v/>
      </c>
      <c r="U4" s="51">
        <f t="shared" si="0"/>
        <v>2</v>
      </c>
      <c r="V4" s="51" t="str">
        <f t="shared" si="0"/>
        <v/>
      </c>
      <c r="W4" s="51">
        <f t="shared" si="0"/>
        <v>1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</row>
    <row r="5" spans="1:40" ht="20" customHeight="1">
      <c r="A5" s="52">
        <v>3</v>
      </c>
      <c r="B5" s="51">
        <v>0</v>
      </c>
      <c r="C5" s="51">
        <v>0</v>
      </c>
      <c r="D5" s="51">
        <v>0</v>
      </c>
      <c r="E5" s="51">
        <v>0</v>
      </c>
      <c r="F5" s="51">
        <v>0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1">
        <v>0</v>
      </c>
      <c r="Q5" s="51">
        <v>0</v>
      </c>
      <c r="R5" s="51">
        <f t="shared" si="0"/>
        <v>1</v>
      </c>
      <c r="S5" s="51" t="str">
        <f t="shared" si="0"/>
        <v/>
      </c>
      <c r="T5" s="51">
        <f t="shared" si="0"/>
        <v>3</v>
      </c>
      <c r="U5" s="51" t="str">
        <f t="shared" si="0"/>
        <v/>
      </c>
      <c r="V5" s="51">
        <f t="shared" ref="V5:AJ21" si="1">IF(IF(U4="",0,U4)+IF(W4="",0,W4)=0,"",IF(U4="",0,U4)+IF(W4="",0,W4))</f>
        <v>3</v>
      </c>
      <c r="W5" s="51" t="str">
        <f t="shared" si="1"/>
        <v/>
      </c>
      <c r="X5" s="51">
        <f t="shared" si="1"/>
        <v>1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1">
        <v>0</v>
      </c>
      <c r="AG5" s="51">
        <v>0</v>
      </c>
      <c r="AH5" s="51">
        <v>0</v>
      </c>
      <c r="AI5" s="51">
        <v>0</v>
      </c>
      <c r="AJ5" s="51">
        <v>0</v>
      </c>
      <c r="AK5" s="51">
        <v>0</v>
      </c>
      <c r="AL5" s="51">
        <v>0</v>
      </c>
      <c r="AM5" s="51">
        <v>0</v>
      </c>
      <c r="AN5" s="51">
        <v>0</v>
      </c>
    </row>
    <row r="6" spans="1:40" ht="20" customHeight="1">
      <c r="A6" s="52">
        <v>4</v>
      </c>
      <c r="B6" s="51">
        <v>0</v>
      </c>
      <c r="C6" s="51">
        <v>0</v>
      </c>
      <c r="D6" s="51">
        <v>0</v>
      </c>
      <c r="E6" s="51">
        <v>0</v>
      </c>
      <c r="F6" s="51">
        <v>0</v>
      </c>
      <c r="G6" s="51">
        <v>0</v>
      </c>
      <c r="H6" s="51">
        <v>0</v>
      </c>
      <c r="I6" s="51">
        <v>0</v>
      </c>
      <c r="J6" s="51">
        <v>0</v>
      </c>
      <c r="K6" s="51">
        <v>0</v>
      </c>
      <c r="L6" s="51">
        <v>0</v>
      </c>
      <c r="M6" s="51">
        <v>0</v>
      </c>
      <c r="N6" s="51">
        <v>0</v>
      </c>
      <c r="O6" s="51">
        <v>0</v>
      </c>
      <c r="P6" s="51">
        <v>0</v>
      </c>
      <c r="Q6" s="51">
        <f t="shared" si="0"/>
        <v>1</v>
      </c>
      <c r="R6" s="51" t="str">
        <f t="shared" si="0"/>
        <v/>
      </c>
      <c r="S6" s="51">
        <f t="shared" si="0"/>
        <v>4</v>
      </c>
      <c r="T6" s="51" t="str">
        <f t="shared" si="0"/>
        <v/>
      </c>
      <c r="U6" s="51">
        <f t="shared" si="0"/>
        <v>6</v>
      </c>
      <c r="V6" s="51" t="str">
        <f t="shared" si="1"/>
        <v/>
      </c>
      <c r="W6" s="51">
        <f t="shared" si="1"/>
        <v>4</v>
      </c>
      <c r="X6" s="51" t="str">
        <f t="shared" si="1"/>
        <v/>
      </c>
      <c r="Y6" s="51">
        <f t="shared" si="1"/>
        <v>1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51">
        <v>0</v>
      </c>
      <c r="AG6" s="51">
        <v>0</v>
      </c>
      <c r="AH6" s="51">
        <v>0</v>
      </c>
      <c r="AI6" s="51">
        <v>0</v>
      </c>
      <c r="AJ6" s="51">
        <v>0</v>
      </c>
      <c r="AK6" s="51">
        <v>0</v>
      </c>
      <c r="AL6" s="51">
        <v>0</v>
      </c>
      <c r="AM6" s="51">
        <v>0</v>
      </c>
      <c r="AN6" s="51">
        <v>0</v>
      </c>
    </row>
    <row r="7" spans="1:40" ht="20" customHeight="1">
      <c r="A7" s="52">
        <v>5</v>
      </c>
      <c r="B7" s="51">
        <v>0</v>
      </c>
      <c r="C7" s="51">
        <v>0</v>
      </c>
      <c r="D7" s="51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51">
        <v>0</v>
      </c>
      <c r="M7" s="51">
        <v>0</v>
      </c>
      <c r="N7" s="51">
        <v>0</v>
      </c>
      <c r="O7" s="51">
        <v>0</v>
      </c>
      <c r="P7" s="51">
        <f t="shared" si="0"/>
        <v>1</v>
      </c>
      <c r="Q7" s="51" t="str">
        <f t="shared" si="0"/>
        <v/>
      </c>
      <c r="R7" s="51">
        <f t="shared" si="0"/>
        <v>5</v>
      </c>
      <c r="S7" s="51" t="str">
        <f t="shared" si="0"/>
        <v/>
      </c>
      <c r="T7" s="51">
        <f t="shared" si="0"/>
        <v>10</v>
      </c>
      <c r="U7" s="51" t="str">
        <f t="shared" si="0"/>
        <v/>
      </c>
      <c r="V7" s="51">
        <f t="shared" si="1"/>
        <v>10</v>
      </c>
      <c r="W7" s="51" t="str">
        <f t="shared" si="1"/>
        <v/>
      </c>
      <c r="X7" s="51">
        <f t="shared" si="1"/>
        <v>5</v>
      </c>
      <c r="Y7" s="51" t="str">
        <f t="shared" si="1"/>
        <v/>
      </c>
      <c r="Z7" s="51">
        <f t="shared" si="1"/>
        <v>1</v>
      </c>
      <c r="AA7" s="51">
        <v>0</v>
      </c>
      <c r="AB7" s="51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0</v>
      </c>
      <c r="AN7" s="51">
        <v>0</v>
      </c>
    </row>
    <row r="8" spans="1:40" ht="20" customHeight="1">
      <c r="A8" s="52">
        <v>6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  <c r="G8" s="51">
        <v>0</v>
      </c>
      <c r="H8" s="51">
        <v>0</v>
      </c>
      <c r="I8" s="51">
        <v>0</v>
      </c>
      <c r="J8" s="51">
        <v>0</v>
      </c>
      <c r="K8" s="51">
        <v>0</v>
      </c>
      <c r="L8" s="51">
        <v>0</v>
      </c>
      <c r="M8" s="51">
        <v>0</v>
      </c>
      <c r="N8" s="51">
        <v>0</v>
      </c>
      <c r="O8" s="51">
        <f t="shared" si="0"/>
        <v>1</v>
      </c>
      <c r="P8" s="51" t="str">
        <f t="shared" si="0"/>
        <v/>
      </c>
      <c r="Q8" s="51">
        <f t="shared" si="0"/>
        <v>6</v>
      </c>
      <c r="R8" s="51" t="str">
        <f t="shared" si="0"/>
        <v/>
      </c>
      <c r="S8" s="51">
        <f t="shared" si="0"/>
        <v>15</v>
      </c>
      <c r="T8" s="51" t="str">
        <f t="shared" si="0"/>
        <v/>
      </c>
      <c r="U8" s="51">
        <f t="shared" si="0"/>
        <v>20</v>
      </c>
      <c r="V8" s="51" t="str">
        <f t="shared" si="1"/>
        <v/>
      </c>
      <c r="W8" s="51">
        <f t="shared" si="1"/>
        <v>15</v>
      </c>
      <c r="X8" s="51" t="str">
        <f t="shared" si="1"/>
        <v/>
      </c>
      <c r="Y8" s="51">
        <f t="shared" si="1"/>
        <v>6</v>
      </c>
      <c r="Z8" s="51" t="str">
        <f t="shared" si="1"/>
        <v/>
      </c>
      <c r="AA8" s="51">
        <f t="shared" si="1"/>
        <v>1</v>
      </c>
      <c r="AB8" s="51">
        <v>0</v>
      </c>
      <c r="AC8" s="51">
        <v>0</v>
      </c>
      <c r="AD8" s="51">
        <v>0</v>
      </c>
      <c r="AE8" s="51">
        <v>0</v>
      </c>
      <c r="AF8" s="51">
        <v>0</v>
      </c>
      <c r="AG8" s="51">
        <v>0</v>
      </c>
      <c r="AH8" s="51">
        <v>0</v>
      </c>
      <c r="AI8" s="51">
        <v>0</v>
      </c>
      <c r="AJ8" s="51">
        <v>0</v>
      </c>
      <c r="AK8" s="51">
        <v>0</v>
      </c>
      <c r="AL8" s="51">
        <v>0</v>
      </c>
      <c r="AM8" s="51">
        <v>0</v>
      </c>
      <c r="AN8" s="51">
        <v>0</v>
      </c>
    </row>
    <row r="9" spans="1:40" ht="20" customHeight="1">
      <c r="A9" s="52">
        <v>7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>
        <f t="shared" si="0"/>
        <v>1</v>
      </c>
      <c r="O9" s="51" t="str">
        <f t="shared" si="0"/>
        <v/>
      </c>
      <c r="P9" s="51">
        <f t="shared" si="0"/>
        <v>7</v>
      </c>
      <c r="Q9" s="51" t="str">
        <f t="shared" si="0"/>
        <v/>
      </c>
      <c r="R9" s="51">
        <f t="shared" si="0"/>
        <v>21</v>
      </c>
      <c r="S9" s="51" t="str">
        <f t="shared" si="0"/>
        <v/>
      </c>
      <c r="T9" s="51">
        <f t="shared" si="0"/>
        <v>35</v>
      </c>
      <c r="U9" s="51" t="str">
        <f t="shared" si="0"/>
        <v/>
      </c>
      <c r="V9" s="51">
        <f t="shared" si="1"/>
        <v>35</v>
      </c>
      <c r="W9" s="51" t="str">
        <f t="shared" si="1"/>
        <v/>
      </c>
      <c r="X9" s="51">
        <f t="shared" si="1"/>
        <v>21</v>
      </c>
      <c r="Y9" s="51" t="str">
        <f t="shared" si="1"/>
        <v/>
      </c>
      <c r="Z9" s="51">
        <f t="shared" si="1"/>
        <v>7</v>
      </c>
      <c r="AA9" s="51" t="str">
        <f t="shared" si="1"/>
        <v/>
      </c>
      <c r="AB9" s="51">
        <f t="shared" si="1"/>
        <v>1</v>
      </c>
      <c r="AC9" s="51">
        <v>0</v>
      </c>
      <c r="AD9" s="51">
        <v>0</v>
      </c>
      <c r="AE9" s="51">
        <v>0</v>
      </c>
      <c r="AF9" s="51">
        <v>0</v>
      </c>
      <c r="AG9" s="51">
        <v>0</v>
      </c>
      <c r="AH9" s="51">
        <v>0</v>
      </c>
      <c r="AI9" s="51">
        <v>0</v>
      </c>
      <c r="AJ9" s="51">
        <v>0</v>
      </c>
      <c r="AK9" s="51">
        <v>0</v>
      </c>
      <c r="AL9" s="51">
        <v>0</v>
      </c>
      <c r="AM9" s="51">
        <v>0</v>
      </c>
      <c r="AN9" s="51">
        <v>0</v>
      </c>
    </row>
    <row r="10" spans="1:40" ht="20" customHeight="1">
      <c r="A10" s="52">
        <v>8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  <c r="G10" s="51">
        <v>0</v>
      </c>
      <c r="H10" s="51">
        <v>0</v>
      </c>
      <c r="I10" s="51">
        <v>0</v>
      </c>
      <c r="J10" s="51">
        <v>0</v>
      </c>
      <c r="K10" s="51">
        <v>0</v>
      </c>
      <c r="L10" s="51">
        <v>0</v>
      </c>
      <c r="M10" s="51">
        <f t="shared" ref="M10:M21" si="2">IF(IF(L9="",0,L9)+IF(N9="",0,N9)=0,"",IF(L9="",0,L9)+IF(N9="",0,N9))</f>
        <v>1</v>
      </c>
      <c r="N10" s="51" t="str">
        <f t="shared" si="0"/>
        <v/>
      </c>
      <c r="O10" s="51">
        <f t="shared" si="0"/>
        <v>8</v>
      </c>
      <c r="P10" s="51" t="str">
        <f t="shared" si="0"/>
        <v/>
      </c>
      <c r="Q10" s="51">
        <f t="shared" si="0"/>
        <v>28</v>
      </c>
      <c r="R10" s="51" t="str">
        <f t="shared" si="0"/>
        <v/>
      </c>
      <c r="S10" s="51">
        <f t="shared" si="0"/>
        <v>56</v>
      </c>
      <c r="T10" s="51" t="str">
        <f t="shared" si="0"/>
        <v/>
      </c>
      <c r="U10" s="51">
        <f t="shared" si="0"/>
        <v>70</v>
      </c>
      <c r="V10" s="51" t="str">
        <f t="shared" si="1"/>
        <v/>
      </c>
      <c r="W10" s="51">
        <f t="shared" si="1"/>
        <v>56</v>
      </c>
      <c r="X10" s="51" t="str">
        <f t="shared" si="1"/>
        <v/>
      </c>
      <c r="Y10" s="51">
        <f t="shared" si="1"/>
        <v>28</v>
      </c>
      <c r="Z10" s="51" t="str">
        <f t="shared" si="1"/>
        <v/>
      </c>
      <c r="AA10" s="51">
        <f t="shared" si="1"/>
        <v>8</v>
      </c>
      <c r="AB10" s="51" t="str">
        <f t="shared" si="1"/>
        <v/>
      </c>
      <c r="AC10" s="51">
        <f t="shared" si="1"/>
        <v>1</v>
      </c>
      <c r="AD10" s="51">
        <v>0</v>
      </c>
      <c r="AE10" s="51">
        <v>0</v>
      </c>
      <c r="AF10" s="51">
        <v>0</v>
      </c>
      <c r="AG10" s="51">
        <v>0</v>
      </c>
      <c r="AH10" s="51">
        <v>0</v>
      </c>
      <c r="AI10" s="51">
        <v>0</v>
      </c>
      <c r="AJ10" s="51">
        <v>0</v>
      </c>
      <c r="AK10" s="51">
        <v>0</v>
      </c>
      <c r="AL10" s="51">
        <v>0</v>
      </c>
      <c r="AM10" s="51">
        <v>0</v>
      </c>
      <c r="AN10" s="51">
        <v>0</v>
      </c>
    </row>
    <row r="11" spans="1:40" ht="20" customHeight="1">
      <c r="A11" s="52">
        <v>9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  <c r="G11" s="51">
        <v>0</v>
      </c>
      <c r="H11" s="51">
        <v>0</v>
      </c>
      <c r="I11" s="51">
        <v>0</v>
      </c>
      <c r="J11" s="51">
        <v>0</v>
      </c>
      <c r="K11" s="51">
        <v>0</v>
      </c>
      <c r="L11" s="51">
        <v>1</v>
      </c>
      <c r="M11" s="51" t="str">
        <f t="shared" si="2"/>
        <v/>
      </c>
      <c r="N11" s="51">
        <f t="shared" ref="N11:N21" si="3">IF(IF(M10="",0,M10)+IF(O10="",0,O10)=0,"",IF(M10="",0,M10)+IF(O10="",0,O10))</f>
        <v>9</v>
      </c>
      <c r="O11" s="51" t="str">
        <f t="shared" si="0"/>
        <v/>
      </c>
      <c r="P11" s="51">
        <f t="shared" si="0"/>
        <v>36</v>
      </c>
      <c r="Q11" s="51" t="str">
        <f t="shared" si="0"/>
        <v/>
      </c>
      <c r="R11" s="51">
        <f t="shared" si="0"/>
        <v>84</v>
      </c>
      <c r="S11" s="51" t="str">
        <f t="shared" si="0"/>
        <v/>
      </c>
      <c r="T11" s="51">
        <f t="shared" si="0"/>
        <v>126</v>
      </c>
      <c r="U11" s="51" t="str">
        <f t="shared" si="0"/>
        <v/>
      </c>
      <c r="V11" s="51">
        <f t="shared" si="1"/>
        <v>126</v>
      </c>
      <c r="W11" s="51" t="str">
        <f t="shared" si="1"/>
        <v/>
      </c>
      <c r="X11" s="51">
        <f t="shared" si="1"/>
        <v>84</v>
      </c>
      <c r="Y11" s="51" t="str">
        <f t="shared" si="1"/>
        <v/>
      </c>
      <c r="Z11" s="51">
        <f t="shared" si="1"/>
        <v>36</v>
      </c>
      <c r="AA11" s="51" t="str">
        <f t="shared" si="1"/>
        <v/>
      </c>
      <c r="AB11" s="51">
        <f t="shared" si="1"/>
        <v>9</v>
      </c>
      <c r="AC11" s="51" t="str">
        <f t="shared" si="1"/>
        <v/>
      </c>
      <c r="AD11" s="51">
        <f t="shared" ref="AD11:AD21" si="4">IF(IF(AC10="",0,AC10)+IF(AE10="",0,AE10)=0,"",IF(AC10="",0,AC10)+IF(AE10="",0,AE10))</f>
        <v>1</v>
      </c>
      <c r="AE11" s="51">
        <v>0</v>
      </c>
      <c r="AF11" s="51">
        <v>0</v>
      </c>
      <c r="AG11" s="51">
        <v>0</v>
      </c>
      <c r="AH11" s="51">
        <v>0</v>
      </c>
      <c r="AI11" s="51">
        <v>0</v>
      </c>
      <c r="AJ11" s="51">
        <v>0</v>
      </c>
      <c r="AK11" s="51">
        <v>0</v>
      </c>
      <c r="AL11" s="51">
        <v>0</v>
      </c>
      <c r="AM11" s="51">
        <v>0</v>
      </c>
      <c r="AN11" s="51">
        <v>0</v>
      </c>
    </row>
    <row r="12" spans="1:40" ht="20" customHeight="1">
      <c r="A12" s="52">
        <v>10</v>
      </c>
      <c r="B12" s="51">
        <v>0</v>
      </c>
      <c r="C12" s="51">
        <v>0</v>
      </c>
      <c r="D12" s="51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51">
        <v>0</v>
      </c>
      <c r="K12" s="51">
        <f t="shared" ref="J12:K15" si="5">IF(IF(J11="",0,J11)+IF(L11="",0,L11)=0,"",IF(J11="",0,J11)+IF(L11="",0,L11))</f>
        <v>1</v>
      </c>
      <c r="L12" s="51" t="str">
        <f t="shared" ref="L12:L15" si="6">IF(IF(K11="",0,K11)+IF(M11="",0,M11)=0,"",IF(K11="",0,K11)+IF(M11="",0,M11))</f>
        <v/>
      </c>
      <c r="M12" s="51">
        <f t="shared" si="2"/>
        <v>10</v>
      </c>
      <c r="N12" s="51" t="str">
        <f t="shared" si="3"/>
        <v/>
      </c>
      <c r="O12" s="51">
        <f t="shared" si="0"/>
        <v>45</v>
      </c>
      <c r="P12" s="51" t="str">
        <f t="shared" si="0"/>
        <v/>
      </c>
      <c r="Q12" s="51">
        <f t="shared" si="0"/>
        <v>120</v>
      </c>
      <c r="R12" s="51" t="str">
        <f t="shared" si="0"/>
        <v/>
      </c>
      <c r="S12" s="51">
        <f t="shared" si="0"/>
        <v>210</v>
      </c>
      <c r="T12" s="51" t="str">
        <f t="shared" si="0"/>
        <v/>
      </c>
      <c r="U12" s="51">
        <f t="shared" si="0"/>
        <v>252</v>
      </c>
      <c r="V12" s="51" t="str">
        <f t="shared" si="1"/>
        <v/>
      </c>
      <c r="W12" s="51">
        <f t="shared" si="1"/>
        <v>210</v>
      </c>
      <c r="X12" s="51" t="str">
        <f t="shared" si="1"/>
        <v/>
      </c>
      <c r="Y12" s="51">
        <f t="shared" si="1"/>
        <v>120</v>
      </c>
      <c r="Z12" s="51" t="str">
        <f t="shared" si="1"/>
        <v/>
      </c>
      <c r="AA12" s="51">
        <f t="shared" si="1"/>
        <v>45</v>
      </c>
      <c r="AB12" s="51" t="str">
        <f t="shared" si="1"/>
        <v/>
      </c>
      <c r="AC12" s="51">
        <f t="shared" si="1"/>
        <v>10</v>
      </c>
      <c r="AD12" s="51" t="str">
        <f t="shared" si="4"/>
        <v/>
      </c>
      <c r="AE12" s="51">
        <f t="shared" si="1"/>
        <v>1</v>
      </c>
      <c r="AF12" s="51">
        <v>0</v>
      </c>
      <c r="AG12" s="51">
        <v>0</v>
      </c>
      <c r="AH12" s="51">
        <v>0</v>
      </c>
      <c r="AI12" s="51">
        <v>0</v>
      </c>
      <c r="AJ12" s="51">
        <v>0</v>
      </c>
      <c r="AK12" s="51">
        <v>0</v>
      </c>
      <c r="AL12" s="51">
        <v>0</v>
      </c>
      <c r="AM12" s="51">
        <v>0</v>
      </c>
      <c r="AN12" s="51">
        <v>0</v>
      </c>
    </row>
    <row r="13" spans="1:40" ht="20" customHeight="1">
      <c r="A13" s="52">
        <v>11</v>
      </c>
      <c r="B13" s="51">
        <v>0</v>
      </c>
      <c r="C13" s="51">
        <v>0</v>
      </c>
      <c r="D13" s="51">
        <v>0</v>
      </c>
      <c r="E13" s="51">
        <v>0</v>
      </c>
      <c r="F13" s="51">
        <v>0</v>
      </c>
      <c r="G13" s="51">
        <v>0</v>
      </c>
      <c r="H13" s="51">
        <v>0</v>
      </c>
      <c r="I13" s="51">
        <v>0</v>
      </c>
      <c r="J13" s="51">
        <f t="shared" si="5"/>
        <v>1</v>
      </c>
      <c r="K13" s="51" t="str">
        <f t="shared" si="5"/>
        <v/>
      </c>
      <c r="L13" s="51">
        <f t="shared" si="6"/>
        <v>11</v>
      </c>
      <c r="M13" s="51" t="str">
        <f t="shared" si="2"/>
        <v/>
      </c>
      <c r="N13" s="51">
        <f t="shared" si="3"/>
        <v>55</v>
      </c>
      <c r="O13" s="51" t="str">
        <f t="shared" si="0"/>
        <v/>
      </c>
      <c r="P13" s="51">
        <f t="shared" si="0"/>
        <v>165</v>
      </c>
      <c r="Q13" s="51" t="str">
        <f t="shared" si="0"/>
        <v/>
      </c>
      <c r="R13" s="51">
        <f t="shared" si="0"/>
        <v>330</v>
      </c>
      <c r="S13" s="51" t="str">
        <f t="shared" si="0"/>
        <v/>
      </c>
      <c r="T13" s="51">
        <f t="shared" si="0"/>
        <v>462</v>
      </c>
      <c r="U13" s="51" t="str">
        <f t="shared" si="0"/>
        <v/>
      </c>
      <c r="V13" s="51">
        <f t="shared" si="1"/>
        <v>462</v>
      </c>
      <c r="W13" s="51" t="str">
        <f t="shared" si="1"/>
        <v/>
      </c>
      <c r="X13" s="51">
        <f t="shared" si="1"/>
        <v>330</v>
      </c>
      <c r="Y13" s="51" t="str">
        <f t="shared" si="1"/>
        <v/>
      </c>
      <c r="Z13" s="51">
        <f t="shared" si="1"/>
        <v>165</v>
      </c>
      <c r="AA13" s="51" t="str">
        <f t="shared" si="1"/>
        <v/>
      </c>
      <c r="AB13" s="51">
        <f t="shared" si="1"/>
        <v>55</v>
      </c>
      <c r="AC13" s="51" t="str">
        <f t="shared" si="1"/>
        <v/>
      </c>
      <c r="AD13" s="51">
        <f t="shared" si="4"/>
        <v>11</v>
      </c>
      <c r="AE13" s="51" t="str">
        <f t="shared" si="1"/>
        <v/>
      </c>
      <c r="AF13" s="51">
        <f t="shared" si="1"/>
        <v>1</v>
      </c>
      <c r="AG13" s="51">
        <v>0</v>
      </c>
      <c r="AH13" s="51">
        <v>0</v>
      </c>
      <c r="AI13" s="51">
        <v>0</v>
      </c>
      <c r="AJ13" s="51">
        <v>0</v>
      </c>
      <c r="AK13" s="51">
        <v>0</v>
      </c>
      <c r="AL13" s="51">
        <v>0</v>
      </c>
      <c r="AM13" s="51">
        <v>0</v>
      </c>
      <c r="AN13" s="51">
        <v>0</v>
      </c>
    </row>
    <row r="14" spans="1:40" ht="20" customHeight="1">
      <c r="A14" s="52">
        <v>12</v>
      </c>
      <c r="B14" s="51">
        <v>0</v>
      </c>
      <c r="C14" s="51">
        <v>0</v>
      </c>
      <c r="D14" s="51">
        <v>0</v>
      </c>
      <c r="E14" s="51">
        <v>0</v>
      </c>
      <c r="F14" s="51">
        <v>0</v>
      </c>
      <c r="G14" s="51">
        <v>0</v>
      </c>
      <c r="H14" s="51">
        <v>0</v>
      </c>
      <c r="I14" s="51">
        <v>1</v>
      </c>
      <c r="J14" s="51" t="str">
        <f t="shared" si="5"/>
        <v/>
      </c>
      <c r="K14" s="51">
        <f t="shared" si="5"/>
        <v>12</v>
      </c>
      <c r="L14" s="51" t="str">
        <f t="shared" si="6"/>
        <v/>
      </c>
      <c r="M14" s="51">
        <f t="shared" si="2"/>
        <v>66</v>
      </c>
      <c r="N14" s="51" t="str">
        <f t="shared" si="3"/>
        <v/>
      </c>
      <c r="O14" s="51">
        <f t="shared" si="0"/>
        <v>220</v>
      </c>
      <c r="P14" s="51" t="str">
        <f t="shared" si="0"/>
        <v/>
      </c>
      <c r="Q14" s="51">
        <f t="shared" si="0"/>
        <v>495</v>
      </c>
      <c r="R14" s="51" t="str">
        <f t="shared" si="0"/>
        <v/>
      </c>
      <c r="S14" s="51">
        <f t="shared" si="0"/>
        <v>792</v>
      </c>
      <c r="T14" s="51" t="str">
        <f t="shared" si="0"/>
        <v/>
      </c>
      <c r="U14" s="51">
        <f t="shared" si="0"/>
        <v>924</v>
      </c>
      <c r="V14" s="51" t="str">
        <f t="shared" si="1"/>
        <v/>
      </c>
      <c r="W14" s="51">
        <f t="shared" si="1"/>
        <v>792</v>
      </c>
      <c r="X14" s="51" t="str">
        <f t="shared" si="1"/>
        <v/>
      </c>
      <c r="Y14" s="51">
        <f t="shared" si="1"/>
        <v>495</v>
      </c>
      <c r="Z14" s="51" t="str">
        <f t="shared" si="1"/>
        <v/>
      </c>
      <c r="AA14" s="51">
        <f t="shared" si="1"/>
        <v>220</v>
      </c>
      <c r="AB14" s="51" t="str">
        <f t="shared" si="1"/>
        <v/>
      </c>
      <c r="AC14" s="51">
        <f t="shared" si="1"/>
        <v>66</v>
      </c>
      <c r="AD14" s="51" t="str">
        <f t="shared" si="4"/>
        <v/>
      </c>
      <c r="AE14" s="51">
        <f t="shared" si="1"/>
        <v>12</v>
      </c>
      <c r="AF14" s="51" t="str">
        <f t="shared" si="1"/>
        <v/>
      </c>
      <c r="AG14" s="51">
        <f t="shared" si="1"/>
        <v>1</v>
      </c>
      <c r="AH14" s="51">
        <v>0</v>
      </c>
      <c r="AI14" s="51">
        <v>0</v>
      </c>
      <c r="AJ14" s="51">
        <v>0</v>
      </c>
      <c r="AK14" s="51">
        <v>0</v>
      </c>
      <c r="AL14" s="51">
        <v>0</v>
      </c>
      <c r="AM14" s="51">
        <v>0</v>
      </c>
      <c r="AN14" s="51">
        <v>0</v>
      </c>
    </row>
    <row r="15" spans="1:40" ht="20" customHeight="1">
      <c r="A15" s="52">
        <v>13</v>
      </c>
      <c r="B15" s="51">
        <v>0</v>
      </c>
      <c r="C15" s="51">
        <v>0</v>
      </c>
      <c r="D15" s="51">
        <v>0</v>
      </c>
      <c r="E15" s="51">
        <v>0</v>
      </c>
      <c r="F15" s="51">
        <v>0</v>
      </c>
      <c r="G15" s="51">
        <v>0</v>
      </c>
      <c r="H15" s="51">
        <f t="shared" ref="H15" si="7">IF(IF(G14="",0,G14)+IF(I14="",0,I14)=0,"",IF(G14="",0,G14)+IF(I14="",0,I14))</f>
        <v>1</v>
      </c>
      <c r="I15" s="51" t="str">
        <f t="shared" ref="I15" si="8">IF(IF(H14="",0,H14)+IF(J14="",0,J14)=0,"",IF(H14="",0,H14)+IF(J14="",0,J14))</f>
        <v/>
      </c>
      <c r="J15" s="51">
        <f t="shared" ref="J15:J21" si="9">IF(IF(I14="",0,I14)+IF(K14="",0,K14)=0,"",IF(I14="",0,I14)+IF(K14="",0,K14))</f>
        <v>13</v>
      </c>
      <c r="K15" s="51" t="str">
        <f t="shared" si="5"/>
        <v/>
      </c>
      <c r="L15" s="51">
        <f t="shared" si="6"/>
        <v>78</v>
      </c>
      <c r="M15" s="51" t="str">
        <f t="shared" si="2"/>
        <v/>
      </c>
      <c r="N15" s="51">
        <f t="shared" si="3"/>
        <v>286</v>
      </c>
      <c r="O15" s="51" t="str">
        <f t="shared" si="0"/>
        <v/>
      </c>
      <c r="P15" s="51">
        <f t="shared" si="0"/>
        <v>715</v>
      </c>
      <c r="Q15" s="51" t="str">
        <f t="shared" si="0"/>
        <v/>
      </c>
      <c r="R15" s="51">
        <f t="shared" si="0"/>
        <v>1287</v>
      </c>
      <c r="S15" s="51" t="str">
        <f t="shared" si="0"/>
        <v/>
      </c>
      <c r="T15" s="51">
        <f t="shared" si="0"/>
        <v>1716</v>
      </c>
      <c r="U15" s="51" t="str">
        <f t="shared" si="0"/>
        <v/>
      </c>
      <c r="V15" s="51">
        <f t="shared" si="1"/>
        <v>1716</v>
      </c>
      <c r="W15" s="51" t="str">
        <f t="shared" si="1"/>
        <v/>
      </c>
      <c r="X15" s="51">
        <f t="shared" si="1"/>
        <v>1287</v>
      </c>
      <c r="Y15" s="51" t="str">
        <f t="shared" si="1"/>
        <v/>
      </c>
      <c r="Z15" s="51">
        <f t="shared" si="1"/>
        <v>715</v>
      </c>
      <c r="AA15" s="51" t="str">
        <f t="shared" si="1"/>
        <v/>
      </c>
      <c r="AB15" s="51">
        <f t="shared" si="1"/>
        <v>286</v>
      </c>
      <c r="AC15" s="51" t="str">
        <f t="shared" si="1"/>
        <v/>
      </c>
      <c r="AD15" s="51">
        <f t="shared" si="4"/>
        <v>78</v>
      </c>
      <c r="AE15" s="51" t="str">
        <f t="shared" si="1"/>
        <v/>
      </c>
      <c r="AF15" s="51">
        <f t="shared" si="1"/>
        <v>13</v>
      </c>
      <c r="AG15" s="51" t="str">
        <f t="shared" si="1"/>
        <v/>
      </c>
      <c r="AH15" s="51">
        <f t="shared" si="1"/>
        <v>1</v>
      </c>
      <c r="AI15" s="51">
        <v>0</v>
      </c>
      <c r="AJ15" s="51">
        <v>0</v>
      </c>
      <c r="AK15" s="51">
        <v>0</v>
      </c>
      <c r="AL15" s="51">
        <v>0</v>
      </c>
      <c r="AM15" s="51">
        <v>0</v>
      </c>
      <c r="AN15" s="51">
        <v>0</v>
      </c>
    </row>
    <row r="16" spans="1:40" ht="20" customHeight="1">
      <c r="A16" s="52">
        <v>14</v>
      </c>
      <c r="B16" s="51">
        <v>0</v>
      </c>
      <c r="C16" s="51">
        <v>0</v>
      </c>
      <c r="D16" s="51">
        <v>0</v>
      </c>
      <c r="E16" s="51">
        <v>0</v>
      </c>
      <c r="F16" s="51">
        <v>0</v>
      </c>
      <c r="G16" s="51">
        <f t="shared" ref="G16:G21" si="10">IF(IF(F15="",0,F15)+IF(H15="",0,H15)=0,"",IF(F15="",0,F15)+IF(H15="",0,H15))</f>
        <v>1</v>
      </c>
      <c r="H16" s="51" t="str">
        <f t="shared" ref="H16:H21" si="11">IF(IF(G15="",0,G15)+IF(I15="",0,I15)=0,"",IF(G15="",0,G15)+IF(I15="",0,I15))</f>
        <v/>
      </c>
      <c r="I16" s="51">
        <f t="shared" ref="I16:I21" si="12">IF(IF(H15="",0,H15)+IF(J15="",0,J15)=0,"",IF(H15="",0,H15)+IF(J15="",0,J15))</f>
        <v>14</v>
      </c>
      <c r="J16" s="51" t="str">
        <f t="shared" si="9"/>
        <v/>
      </c>
      <c r="K16" s="51">
        <f t="shared" ref="K16:K21" si="13">IF(IF(J15="",0,J15)+IF(L15="",0,L15)=0,"",IF(J15="",0,J15)+IF(L15="",0,L15))</f>
        <v>91</v>
      </c>
      <c r="L16" s="51" t="str">
        <f t="shared" ref="L16:L21" si="14">IF(IF(K15="",0,K15)+IF(M15="",0,M15)=0,"",IF(K15="",0,K15)+IF(M15="",0,M15))</f>
        <v/>
      </c>
      <c r="M16" s="51">
        <f t="shared" si="2"/>
        <v>364</v>
      </c>
      <c r="N16" s="51" t="str">
        <f t="shared" si="3"/>
        <v/>
      </c>
      <c r="O16" s="51">
        <f t="shared" si="0"/>
        <v>1001</v>
      </c>
      <c r="P16" s="51" t="str">
        <f t="shared" si="0"/>
        <v/>
      </c>
      <c r="Q16" s="51">
        <f t="shared" si="0"/>
        <v>2002</v>
      </c>
      <c r="R16" s="51" t="str">
        <f t="shared" si="0"/>
        <v/>
      </c>
      <c r="S16" s="51">
        <f t="shared" si="0"/>
        <v>3003</v>
      </c>
      <c r="T16" s="51" t="str">
        <f t="shared" si="0"/>
        <v/>
      </c>
      <c r="U16" s="51">
        <f t="shared" si="0"/>
        <v>3432</v>
      </c>
      <c r="V16" s="51" t="str">
        <f t="shared" si="1"/>
        <v/>
      </c>
      <c r="W16" s="51">
        <f t="shared" si="1"/>
        <v>3003</v>
      </c>
      <c r="X16" s="51" t="str">
        <f t="shared" si="1"/>
        <v/>
      </c>
      <c r="Y16" s="51">
        <f t="shared" si="1"/>
        <v>2002</v>
      </c>
      <c r="Z16" s="51" t="str">
        <f t="shared" si="1"/>
        <v/>
      </c>
      <c r="AA16" s="51">
        <f t="shared" si="1"/>
        <v>1001</v>
      </c>
      <c r="AB16" s="51" t="str">
        <f t="shared" si="1"/>
        <v/>
      </c>
      <c r="AC16" s="51">
        <f t="shared" si="1"/>
        <v>364</v>
      </c>
      <c r="AD16" s="51" t="str">
        <f t="shared" si="4"/>
        <v/>
      </c>
      <c r="AE16" s="51">
        <f t="shared" si="1"/>
        <v>91</v>
      </c>
      <c r="AF16" s="51" t="str">
        <f t="shared" si="1"/>
        <v/>
      </c>
      <c r="AG16" s="51">
        <f t="shared" si="1"/>
        <v>14</v>
      </c>
      <c r="AH16" s="51" t="str">
        <f t="shared" si="1"/>
        <v/>
      </c>
      <c r="AI16" s="51">
        <f t="shared" si="1"/>
        <v>1</v>
      </c>
      <c r="AJ16" s="51">
        <v>0</v>
      </c>
      <c r="AK16" s="51">
        <v>0</v>
      </c>
      <c r="AL16" s="51">
        <v>0</v>
      </c>
      <c r="AM16" s="51">
        <v>0</v>
      </c>
      <c r="AN16" s="51">
        <v>0</v>
      </c>
    </row>
    <row r="17" spans="1:40" ht="20" customHeight="1">
      <c r="A17" s="52">
        <v>15</v>
      </c>
      <c r="B17" s="51">
        <v>0</v>
      </c>
      <c r="C17" s="51">
        <v>0</v>
      </c>
      <c r="D17" s="51">
        <v>0</v>
      </c>
      <c r="E17" s="51">
        <v>0</v>
      </c>
      <c r="F17" s="51">
        <f t="shared" ref="F17:F21" si="15">IF(IF(E16="",0,E16)+IF(G16="",0,G16)=0,"",IF(E16="",0,E16)+IF(G16="",0,G16))</f>
        <v>1</v>
      </c>
      <c r="G17" s="51" t="str">
        <f t="shared" si="10"/>
        <v/>
      </c>
      <c r="H17" s="51">
        <f t="shared" si="11"/>
        <v>15</v>
      </c>
      <c r="I17" s="51" t="str">
        <f t="shared" si="12"/>
        <v/>
      </c>
      <c r="J17" s="51">
        <f t="shared" si="9"/>
        <v>105</v>
      </c>
      <c r="K17" s="51" t="str">
        <f t="shared" si="13"/>
        <v/>
      </c>
      <c r="L17" s="51">
        <f t="shared" si="14"/>
        <v>455</v>
      </c>
      <c r="M17" s="51" t="str">
        <f t="shared" si="2"/>
        <v/>
      </c>
      <c r="N17" s="51">
        <f t="shared" si="3"/>
        <v>1365</v>
      </c>
      <c r="O17" s="51" t="str">
        <f t="shared" si="0"/>
        <v/>
      </c>
      <c r="P17" s="51">
        <f t="shared" si="0"/>
        <v>3003</v>
      </c>
      <c r="Q17" s="51" t="str">
        <f t="shared" si="0"/>
        <v/>
      </c>
      <c r="R17" s="51">
        <f t="shared" si="0"/>
        <v>5005</v>
      </c>
      <c r="S17" s="51" t="str">
        <f t="shared" si="0"/>
        <v/>
      </c>
      <c r="T17" s="51">
        <f t="shared" si="0"/>
        <v>6435</v>
      </c>
      <c r="U17" s="51" t="str">
        <f t="shared" si="0"/>
        <v/>
      </c>
      <c r="V17" s="51">
        <f t="shared" si="1"/>
        <v>6435</v>
      </c>
      <c r="W17" s="51" t="str">
        <f t="shared" si="1"/>
        <v/>
      </c>
      <c r="X17" s="51">
        <f t="shared" si="1"/>
        <v>5005</v>
      </c>
      <c r="Y17" s="51" t="str">
        <f t="shared" si="1"/>
        <v/>
      </c>
      <c r="Z17" s="51">
        <f t="shared" si="1"/>
        <v>3003</v>
      </c>
      <c r="AA17" s="51" t="str">
        <f t="shared" si="1"/>
        <v/>
      </c>
      <c r="AB17" s="51">
        <f t="shared" si="1"/>
        <v>1365</v>
      </c>
      <c r="AC17" s="51" t="str">
        <f t="shared" si="1"/>
        <v/>
      </c>
      <c r="AD17" s="51">
        <f t="shared" si="4"/>
        <v>455</v>
      </c>
      <c r="AE17" s="51" t="str">
        <f t="shared" si="1"/>
        <v/>
      </c>
      <c r="AF17" s="51">
        <f t="shared" si="1"/>
        <v>105</v>
      </c>
      <c r="AG17" s="51" t="str">
        <f t="shared" si="1"/>
        <v/>
      </c>
      <c r="AH17" s="51">
        <f t="shared" si="1"/>
        <v>15</v>
      </c>
      <c r="AI17" s="51" t="str">
        <f t="shared" si="1"/>
        <v/>
      </c>
      <c r="AJ17" s="51">
        <f t="shared" si="1"/>
        <v>1</v>
      </c>
      <c r="AK17" s="51">
        <v>0</v>
      </c>
      <c r="AL17" s="51">
        <v>0</v>
      </c>
      <c r="AM17" s="51">
        <v>0</v>
      </c>
      <c r="AN17" s="51">
        <v>0</v>
      </c>
    </row>
    <row r="18" spans="1:40" ht="20" customHeight="1">
      <c r="A18" s="52">
        <v>16</v>
      </c>
      <c r="B18" s="51">
        <v>0</v>
      </c>
      <c r="C18" s="51">
        <v>0</v>
      </c>
      <c r="D18" s="51">
        <v>0</v>
      </c>
      <c r="E18" s="51">
        <f t="shared" ref="E18:E21" si="16">IF(IF(D17="",0,D17)+IF(F17="",0,F17)=0,"",IF(D17="",0,D17)+IF(F17="",0,F17))</f>
        <v>1</v>
      </c>
      <c r="F18" s="51" t="str">
        <f t="shared" si="15"/>
        <v/>
      </c>
      <c r="G18" s="51">
        <f t="shared" si="10"/>
        <v>16</v>
      </c>
      <c r="H18" s="51" t="str">
        <f t="shared" si="11"/>
        <v/>
      </c>
      <c r="I18" s="51">
        <f t="shared" si="12"/>
        <v>120</v>
      </c>
      <c r="J18" s="51" t="str">
        <f t="shared" si="9"/>
        <v/>
      </c>
      <c r="K18" s="51">
        <f t="shared" si="13"/>
        <v>560</v>
      </c>
      <c r="L18" s="51" t="str">
        <f t="shared" si="14"/>
        <v/>
      </c>
      <c r="M18" s="51">
        <f t="shared" si="2"/>
        <v>1820</v>
      </c>
      <c r="N18" s="51" t="str">
        <f t="shared" si="3"/>
        <v/>
      </c>
      <c r="O18" s="51">
        <f t="shared" si="0"/>
        <v>4368</v>
      </c>
      <c r="P18" s="51" t="str">
        <f t="shared" si="0"/>
        <v/>
      </c>
      <c r="Q18" s="51">
        <f t="shared" si="0"/>
        <v>8008</v>
      </c>
      <c r="R18" s="51" t="str">
        <f t="shared" si="0"/>
        <v/>
      </c>
      <c r="S18" s="51">
        <f t="shared" si="0"/>
        <v>11440</v>
      </c>
      <c r="T18" s="51" t="str">
        <f t="shared" si="0"/>
        <v/>
      </c>
      <c r="U18" s="51">
        <f t="shared" si="0"/>
        <v>12870</v>
      </c>
      <c r="V18" s="51" t="str">
        <f t="shared" si="1"/>
        <v/>
      </c>
      <c r="W18" s="51">
        <f t="shared" si="1"/>
        <v>11440</v>
      </c>
      <c r="X18" s="51" t="str">
        <f t="shared" si="1"/>
        <v/>
      </c>
      <c r="Y18" s="51">
        <f t="shared" si="1"/>
        <v>8008</v>
      </c>
      <c r="Z18" s="51" t="str">
        <f t="shared" si="1"/>
        <v/>
      </c>
      <c r="AA18" s="51">
        <f t="shared" si="1"/>
        <v>4368</v>
      </c>
      <c r="AB18" s="51" t="str">
        <f t="shared" si="1"/>
        <v/>
      </c>
      <c r="AC18" s="51">
        <f t="shared" si="1"/>
        <v>1820</v>
      </c>
      <c r="AD18" s="51" t="str">
        <f t="shared" si="4"/>
        <v/>
      </c>
      <c r="AE18" s="51">
        <f t="shared" si="1"/>
        <v>560</v>
      </c>
      <c r="AF18" s="51" t="str">
        <f t="shared" si="1"/>
        <v/>
      </c>
      <c r="AG18" s="51">
        <f t="shared" si="1"/>
        <v>120</v>
      </c>
      <c r="AH18" s="51" t="str">
        <f t="shared" si="1"/>
        <v/>
      </c>
      <c r="AI18" s="51">
        <f t="shared" si="1"/>
        <v>16</v>
      </c>
      <c r="AJ18" s="51" t="str">
        <f t="shared" si="1"/>
        <v/>
      </c>
      <c r="AK18" s="51">
        <f t="shared" ref="AK18:AK21" si="17">IF(IF(AJ17="",0,AJ17)+IF(AL17="",0,AL17)=0,"",IF(AJ17="",0,AJ17)+IF(AL17="",0,AL17))</f>
        <v>1</v>
      </c>
      <c r="AL18" s="51">
        <v>0</v>
      </c>
      <c r="AM18" s="51">
        <v>0</v>
      </c>
      <c r="AN18" s="51">
        <v>0</v>
      </c>
    </row>
    <row r="19" spans="1:40" ht="20" customHeight="1">
      <c r="A19" s="52">
        <v>17</v>
      </c>
      <c r="B19" s="51">
        <v>0</v>
      </c>
      <c r="C19" s="51">
        <v>0</v>
      </c>
      <c r="D19" s="51">
        <f t="shared" ref="D19:D21" si="18">IF(IF(C18="",0,C18)+IF(E18="",0,E18)=0,"",IF(C18="",0,C18)+IF(E18="",0,E18))</f>
        <v>1</v>
      </c>
      <c r="E19" s="51" t="str">
        <f t="shared" si="16"/>
        <v/>
      </c>
      <c r="F19" s="51">
        <f t="shared" si="15"/>
        <v>17</v>
      </c>
      <c r="G19" s="51" t="str">
        <f t="shared" si="10"/>
        <v/>
      </c>
      <c r="H19" s="51">
        <f t="shared" si="11"/>
        <v>136</v>
      </c>
      <c r="I19" s="51" t="str">
        <f t="shared" si="12"/>
        <v/>
      </c>
      <c r="J19" s="51">
        <f t="shared" si="9"/>
        <v>680</v>
      </c>
      <c r="K19" s="51" t="str">
        <f t="shared" si="13"/>
        <v/>
      </c>
      <c r="L19" s="51">
        <f t="shared" si="14"/>
        <v>2380</v>
      </c>
      <c r="M19" s="51" t="str">
        <f t="shared" si="2"/>
        <v/>
      </c>
      <c r="N19" s="51">
        <f t="shared" si="3"/>
        <v>6188</v>
      </c>
      <c r="O19" s="51" t="str">
        <f t="shared" ref="O19:U21" si="19">IF(IF(N18="",0,N18)+IF(P18="",0,P18)=0,"",IF(N18="",0,N18)+IF(P18="",0,P18))</f>
        <v/>
      </c>
      <c r="P19" s="51">
        <f t="shared" si="19"/>
        <v>12376</v>
      </c>
      <c r="Q19" s="51" t="str">
        <f t="shared" si="19"/>
        <v/>
      </c>
      <c r="R19" s="51">
        <f t="shared" si="19"/>
        <v>19448</v>
      </c>
      <c r="S19" s="51" t="str">
        <f t="shared" si="19"/>
        <v/>
      </c>
      <c r="T19" s="51">
        <f t="shared" si="19"/>
        <v>24310</v>
      </c>
      <c r="U19" s="51" t="str">
        <f t="shared" si="19"/>
        <v/>
      </c>
      <c r="V19" s="51">
        <f t="shared" si="1"/>
        <v>24310</v>
      </c>
      <c r="W19" s="51" t="str">
        <f t="shared" si="1"/>
        <v/>
      </c>
      <c r="X19" s="51">
        <f t="shared" si="1"/>
        <v>19448</v>
      </c>
      <c r="Y19" s="51" t="str">
        <f t="shared" si="1"/>
        <v/>
      </c>
      <c r="Z19" s="51">
        <f t="shared" si="1"/>
        <v>12376</v>
      </c>
      <c r="AA19" s="51" t="str">
        <f t="shared" si="1"/>
        <v/>
      </c>
      <c r="AB19" s="51">
        <f t="shared" si="1"/>
        <v>6188</v>
      </c>
      <c r="AC19" s="51" t="str">
        <f t="shared" si="1"/>
        <v/>
      </c>
      <c r="AD19" s="51">
        <f t="shared" si="4"/>
        <v>2380</v>
      </c>
      <c r="AE19" s="51" t="str">
        <f t="shared" si="1"/>
        <v/>
      </c>
      <c r="AF19" s="51">
        <f t="shared" si="1"/>
        <v>680</v>
      </c>
      <c r="AG19" s="51" t="str">
        <f t="shared" si="1"/>
        <v/>
      </c>
      <c r="AH19" s="51">
        <f t="shared" si="1"/>
        <v>136</v>
      </c>
      <c r="AI19" s="51" t="str">
        <f t="shared" si="1"/>
        <v/>
      </c>
      <c r="AJ19" s="51">
        <f t="shared" si="1"/>
        <v>17</v>
      </c>
      <c r="AK19" s="51" t="str">
        <f t="shared" si="17"/>
        <v/>
      </c>
      <c r="AL19" s="51">
        <f t="shared" ref="AL19:AN21" si="20">IF(IF(AK18="",0,AK18)+IF(AM18="",0,AM18)=0,"",IF(AK18="",0,AK18)+IF(AM18="",0,AM18))</f>
        <v>1</v>
      </c>
      <c r="AM19" s="51">
        <v>0</v>
      </c>
      <c r="AN19" s="51">
        <v>0</v>
      </c>
    </row>
    <row r="20" spans="1:40" ht="20" customHeight="1">
      <c r="A20" s="52">
        <v>18</v>
      </c>
      <c r="B20" s="51">
        <v>0</v>
      </c>
      <c r="C20" s="51">
        <v>1</v>
      </c>
      <c r="D20" s="51" t="str">
        <f t="shared" si="18"/>
        <v/>
      </c>
      <c r="E20" s="51">
        <f t="shared" si="16"/>
        <v>18</v>
      </c>
      <c r="F20" s="51" t="str">
        <f t="shared" si="15"/>
        <v/>
      </c>
      <c r="G20" s="51">
        <f t="shared" si="10"/>
        <v>153</v>
      </c>
      <c r="H20" s="51" t="str">
        <f t="shared" si="11"/>
        <v/>
      </c>
      <c r="I20" s="51">
        <f t="shared" si="12"/>
        <v>816</v>
      </c>
      <c r="J20" s="51" t="str">
        <f t="shared" si="9"/>
        <v/>
      </c>
      <c r="K20" s="51">
        <f t="shared" si="13"/>
        <v>3060</v>
      </c>
      <c r="L20" s="51" t="str">
        <f t="shared" si="14"/>
        <v/>
      </c>
      <c r="M20" s="51">
        <f t="shared" si="2"/>
        <v>8568</v>
      </c>
      <c r="N20" s="51" t="str">
        <f t="shared" si="3"/>
        <v/>
      </c>
      <c r="O20" s="51">
        <f t="shared" si="19"/>
        <v>18564</v>
      </c>
      <c r="P20" s="51" t="str">
        <f t="shared" si="19"/>
        <v/>
      </c>
      <c r="Q20" s="51">
        <f t="shared" si="19"/>
        <v>31824</v>
      </c>
      <c r="R20" s="51" t="str">
        <f t="shared" si="19"/>
        <v/>
      </c>
      <c r="S20" s="51">
        <f t="shared" si="19"/>
        <v>43758</v>
      </c>
      <c r="T20" s="51" t="str">
        <f t="shared" si="19"/>
        <v/>
      </c>
      <c r="U20" s="51">
        <f t="shared" si="19"/>
        <v>48620</v>
      </c>
      <c r="V20" s="51" t="str">
        <f t="shared" si="1"/>
        <v/>
      </c>
      <c r="W20" s="51">
        <f t="shared" si="1"/>
        <v>43758</v>
      </c>
      <c r="X20" s="51" t="str">
        <f t="shared" si="1"/>
        <v/>
      </c>
      <c r="Y20" s="51">
        <f t="shared" si="1"/>
        <v>31824</v>
      </c>
      <c r="Z20" s="51" t="str">
        <f t="shared" si="1"/>
        <v/>
      </c>
      <c r="AA20" s="51">
        <f t="shared" si="1"/>
        <v>18564</v>
      </c>
      <c r="AB20" s="51" t="str">
        <f t="shared" si="1"/>
        <v/>
      </c>
      <c r="AC20" s="51">
        <f t="shared" si="1"/>
        <v>8568</v>
      </c>
      <c r="AD20" s="51" t="str">
        <f t="shared" si="4"/>
        <v/>
      </c>
      <c r="AE20" s="51">
        <f t="shared" si="1"/>
        <v>3060</v>
      </c>
      <c r="AF20" s="51" t="str">
        <f t="shared" si="1"/>
        <v/>
      </c>
      <c r="AG20" s="51">
        <f t="shared" si="1"/>
        <v>816</v>
      </c>
      <c r="AH20" s="51" t="str">
        <f t="shared" si="1"/>
        <v/>
      </c>
      <c r="AI20" s="51">
        <f t="shared" si="1"/>
        <v>153</v>
      </c>
      <c r="AJ20" s="51" t="str">
        <f t="shared" si="1"/>
        <v/>
      </c>
      <c r="AK20" s="51">
        <f t="shared" si="17"/>
        <v>18</v>
      </c>
      <c r="AL20" s="51" t="str">
        <f t="shared" si="20"/>
        <v/>
      </c>
      <c r="AM20" s="51">
        <f t="shared" si="20"/>
        <v>1</v>
      </c>
      <c r="AN20" s="51">
        <v>0</v>
      </c>
    </row>
    <row r="21" spans="1:40" ht="20" customHeight="1">
      <c r="A21" s="52">
        <v>19</v>
      </c>
      <c r="B21" s="51">
        <v>1</v>
      </c>
      <c r="C21" s="51" t="str">
        <f t="shared" ref="C21" si="21">IF(IF(B20="",0,B20)+IF(D20="",0,D20)=0,"",IF(B20="",0,B20)+IF(D20="",0,D20))</f>
        <v/>
      </c>
      <c r="D21" s="51">
        <f t="shared" si="18"/>
        <v>19</v>
      </c>
      <c r="E21" s="51" t="str">
        <f t="shared" si="16"/>
        <v/>
      </c>
      <c r="F21" s="51">
        <f t="shared" si="15"/>
        <v>171</v>
      </c>
      <c r="G21" s="51" t="str">
        <f t="shared" si="10"/>
        <v/>
      </c>
      <c r="H21" s="51">
        <f t="shared" si="11"/>
        <v>969</v>
      </c>
      <c r="I21" s="51" t="str">
        <f t="shared" si="12"/>
        <v/>
      </c>
      <c r="J21" s="51">
        <f t="shared" si="9"/>
        <v>3876</v>
      </c>
      <c r="K21" s="51" t="str">
        <f t="shared" si="13"/>
        <v/>
      </c>
      <c r="L21" s="51">
        <f t="shared" si="14"/>
        <v>11628</v>
      </c>
      <c r="M21" s="51" t="str">
        <f t="shared" si="2"/>
        <v/>
      </c>
      <c r="N21" s="51">
        <f t="shared" si="3"/>
        <v>27132</v>
      </c>
      <c r="O21" s="51" t="str">
        <f t="shared" si="19"/>
        <v/>
      </c>
      <c r="P21" s="51">
        <f t="shared" si="19"/>
        <v>50388</v>
      </c>
      <c r="Q21" s="51" t="str">
        <f t="shared" si="19"/>
        <v/>
      </c>
      <c r="R21" s="51">
        <f t="shared" si="19"/>
        <v>75582</v>
      </c>
      <c r="S21" s="51" t="str">
        <f t="shared" si="19"/>
        <v/>
      </c>
      <c r="T21" s="51">
        <f t="shared" si="19"/>
        <v>92378</v>
      </c>
      <c r="U21" s="51" t="str">
        <f t="shared" si="19"/>
        <v/>
      </c>
      <c r="V21" s="51">
        <f t="shared" si="1"/>
        <v>92378</v>
      </c>
      <c r="W21" s="51" t="str">
        <f t="shared" si="1"/>
        <v/>
      </c>
      <c r="X21" s="51">
        <f t="shared" si="1"/>
        <v>75582</v>
      </c>
      <c r="Y21" s="51" t="str">
        <f t="shared" si="1"/>
        <v/>
      </c>
      <c r="Z21" s="51">
        <f t="shared" si="1"/>
        <v>50388</v>
      </c>
      <c r="AA21" s="51" t="str">
        <f t="shared" si="1"/>
        <v/>
      </c>
      <c r="AB21" s="51">
        <f t="shared" si="1"/>
        <v>27132</v>
      </c>
      <c r="AC21" s="51" t="str">
        <f t="shared" si="1"/>
        <v/>
      </c>
      <c r="AD21" s="51">
        <f t="shared" si="4"/>
        <v>11628</v>
      </c>
      <c r="AE21" s="51" t="str">
        <f t="shared" si="1"/>
        <v/>
      </c>
      <c r="AF21" s="51">
        <f t="shared" si="1"/>
        <v>3876</v>
      </c>
      <c r="AG21" s="51" t="str">
        <f t="shared" si="1"/>
        <v/>
      </c>
      <c r="AH21" s="51">
        <f t="shared" si="1"/>
        <v>969</v>
      </c>
      <c r="AI21" s="51" t="str">
        <f t="shared" si="1"/>
        <v/>
      </c>
      <c r="AJ21" s="51">
        <f t="shared" si="1"/>
        <v>171</v>
      </c>
      <c r="AK21" s="51" t="str">
        <f t="shared" si="17"/>
        <v/>
      </c>
      <c r="AL21" s="51">
        <f t="shared" si="20"/>
        <v>19</v>
      </c>
      <c r="AM21" s="51" t="str">
        <f t="shared" si="20"/>
        <v/>
      </c>
      <c r="AN21" s="51">
        <f t="shared" si="20"/>
        <v>1</v>
      </c>
    </row>
    <row r="22" spans="1:40" ht="20" customHeight="1"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40" ht="20" customHeight="1"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</sheetData>
  <conditionalFormatting sqref="J13:J14 E2:L10 L2:AN11 K12:AN14 H15:AN15 M16:AN21">
    <cfRule type="cellIs" dxfId="29" priority="30" operator="greaterThan">
      <formula>0</formula>
    </cfRule>
  </conditionalFormatting>
  <conditionalFormatting sqref="E11:I13">
    <cfRule type="cellIs" dxfId="28" priority="25" operator="greaterThan">
      <formula>0</formula>
    </cfRule>
  </conditionalFormatting>
  <conditionalFormatting sqref="I14">
    <cfRule type="cellIs" dxfId="27" priority="27" operator="greaterThan">
      <formula>0</formula>
    </cfRule>
  </conditionalFormatting>
  <conditionalFormatting sqref="E14:G14">
    <cfRule type="cellIs" dxfId="26" priority="21" operator="greaterThan">
      <formula>0</formula>
    </cfRule>
  </conditionalFormatting>
  <conditionalFormatting sqref="J11">
    <cfRule type="cellIs" dxfId="25" priority="24" operator="greaterThan">
      <formula>0</formula>
    </cfRule>
  </conditionalFormatting>
  <conditionalFormatting sqref="J12">
    <cfRule type="cellIs" dxfId="24" priority="23" operator="greaterThan">
      <formula>0</formula>
    </cfRule>
  </conditionalFormatting>
  <conditionalFormatting sqref="K11">
    <cfRule type="cellIs" dxfId="23" priority="22" operator="greaterThan">
      <formula>0</formula>
    </cfRule>
  </conditionalFormatting>
  <conditionalFormatting sqref="H14">
    <cfRule type="cellIs" dxfId="22" priority="20" operator="greaterThan">
      <formula>0</formula>
    </cfRule>
  </conditionalFormatting>
  <conditionalFormatting sqref="E15:G15 E16:E17">
    <cfRule type="cellIs" dxfId="21" priority="19" operator="greaterThan">
      <formula>0</formula>
    </cfRule>
  </conditionalFormatting>
  <conditionalFormatting sqref="F16">
    <cfRule type="cellIs" dxfId="20" priority="4" operator="greaterThan">
      <formula>0</formula>
    </cfRule>
  </conditionalFormatting>
  <conditionalFormatting sqref="D11:D13">
    <cfRule type="cellIs" dxfId="19" priority="11" operator="greaterThan">
      <formula>0</formula>
    </cfRule>
  </conditionalFormatting>
  <conditionalFormatting sqref="D15:D18">
    <cfRule type="cellIs" dxfId="18" priority="9" operator="greaterThan">
      <formula>0</formula>
    </cfRule>
  </conditionalFormatting>
  <conditionalFormatting sqref="B15:C16">
    <cfRule type="cellIs" dxfId="17" priority="5" operator="greaterThan">
      <formula>0</formula>
    </cfRule>
  </conditionalFormatting>
  <conditionalFormatting sqref="G16:L21 C21:F21">
    <cfRule type="cellIs" dxfId="16" priority="13" operator="greaterThan">
      <formula>0</formula>
    </cfRule>
  </conditionalFormatting>
  <conditionalFormatting sqref="B21">
    <cfRule type="cellIs" dxfId="15" priority="1" operator="greaterThan">
      <formula>0</formula>
    </cfRule>
  </conditionalFormatting>
  <conditionalFormatting sqref="D2:D10">
    <cfRule type="cellIs" dxfId="14" priority="12" operator="greaterThan">
      <formula>0</formula>
    </cfRule>
  </conditionalFormatting>
  <conditionalFormatting sqref="B11:C13">
    <cfRule type="cellIs" dxfId="13" priority="7" operator="greaterThan">
      <formula>0</formula>
    </cfRule>
  </conditionalFormatting>
  <conditionalFormatting sqref="D14">
    <cfRule type="cellIs" dxfId="12" priority="10" operator="greaterThan">
      <formula>0</formula>
    </cfRule>
  </conditionalFormatting>
  <conditionalFormatting sqref="B2:C10">
    <cfRule type="cellIs" dxfId="11" priority="8" operator="greaterThan">
      <formula>0</formula>
    </cfRule>
  </conditionalFormatting>
  <conditionalFormatting sqref="B14:C14">
    <cfRule type="cellIs" dxfId="10" priority="6" operator="greaterThan">
      <formula>0</formula>
    </cfRule>
  </conditionalFormatting>
  <conditionalFormatting sqref="C19:F20 C17:C18 E18:F18 F17 B17:B20">
    <cfRule type="cellIs" dxfId="9" priority="2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F6A6-872A-B34A-AFD4-7AD2AF127CC1}">
  <sheetPr codeName="Sheet7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578B5-E9C3-A340-8A6A-850068194D2D}">
  <sheetPr codeName="Sheet5"/>
  <dimension ref="B3:AA23"/>
  <sheetViews>
    <sheetView zoomScale="57" workbookViewId="0">
      <selection activeCell="Z27" sqref="Z27"/>
    </sheetView>
  </sheetViews>
  <sheetFormatPr baseColWidth="10" defaultRowHeight="26"/>
  <cols>
    <col min="1" max="1" width="10.83203125" style="4"/>
    <col min="2" max="2" width="10.83203125" style="21"/>
    <col min="3" max="16384" width="10.83203125" style="4"/>
  </cols>
  <sheetData>
    <row r="3" spans="2:15" s="20" customFormat="1">
      <c r="B3" s="21"/>
      <c r="C3" s="20">
        <v>1</v>
      </c>
      <c r="D3" s="20">
        <f>C3+1</f>
        <v>2</v>
      </c>
      <c r="E3" s="20">
        <f t="shared" ref="E3:N3" si="0">D3+1</f>
        <v>3</v>
      </c>
      <c r="F3" s="20">
        <f t="shared" si="0"/>
        <v>4</v>
      </c>
      <c r="G3" s="20">
        <f t="shared" si="0"/>
        <v>5</v>
      </c>
      <c r="H3" s="20">
        <f t="shared" si="0"/>
        <v>6</v>
      </c>
      <c r="I3" s="20">
        <f t="shared" si="0"/>
        <v>7</v>
      </c>
      <c r="J3" s="20">
        <f t="shared" si="0"/>
        <v>8</v>
      </c>
      <c r="K3" s="20">
        <f t="shared" si="0"/>
        <v>9</v>
      </c>
      <c r="L3" s="20">
        <f t="shared" si="0"/>
        <v>10</v>
      </c>
      <c r="M3" s="20">
        <f t="shared" si="0"/>
        <v>11</v>
      </c>
      <c r="N3" s="20">
        <f t="shared" si="0"/>
        <v>12</v>
      </c>
      <c r="O3" s="20">
        <f>N3+1</f>
        <v>13</v>
      </c>
    </row>
    <row r="4" spans="2:15">
      <c r="B4" s="21">
        <v>1</v>
      </c>
      <c r="C4" s="19">
        <f t="shared" ref="C4:O4" si="1">$B4*C$3</f>
        <v>1</v>
      </c>
      <c r="D4" s="19">
        <f t="shared" si="1"/>
        <v>2</v>
      </c>
      <c r="E4" s="19">
        <f t="shared" si="1"/>
        <v>3</v>
      </c>
      <c r="F4" s="19">
        <f t="shared" si="1"/>
        <v>4</v>
      </c>
      <c r="G4" s="19">
        <f t="shared" si="1"/>
        <v>5</v>
      </c>
      <c r="H4" s="19">
        <f t="shared" si="1"/>
        <v>6</v>
      </c>
      <c r="I4" s="19">
        <f t="shared" si="1"/>
        <v>7</v>
      </c>
      <c r="J4" s="19">
        <f t="shared" si="1"/>
        <v>8</v>
      </c>
      <c r="K4" s="19">
        <f t="shared" si="1"/>
        <v>9</v>
      </c>
      <c r="L4" s="19">
        <f t="shared" si="1"/>
        <v>10</v>
      </c>
      <c r="M4" s="19">
        <f t="shared" si="1"/>
        <v>11</v>
      </c>
      <c r="N4" s="19">
        <f t="shared" si="1"/>
        <v>12</v>
      </c>
      <c r="O4" s="19">
        <f t="shared" si="1"/>
        <v>13</v>
      </c>
    </row>
    <row r="5" spans="2:15">
      <c r="B5" s="21">
        <f>B4+1</f>
        <v>2</v>
      </c>
      <c r="C5" s="19">
        <f t="shared" ref="C5:O16" si="2">$B5*C$3</f>
        <v>2</v>
      </c>
      <c r="D5" s="19">
        <f t="shared" si="2"/>
        <v>4</v>
      </c>
      <c r="E5" s="19">
        <f t="shared" si="2"/>
        <v>6</v>
      </c>
      <c r="F5" s="19">
        <f t="shared" si="2"/>
        <v>8</v>
      </c>
      <c r="G5" s="19">
        <f t="shared" si="2"/>
        <v>10</v>
      </c>
      <c r="H5" s="19">
        <f t="shared" si="2"/>
        <v>12</v>
      </c>
      <c r="I5" s="19">
        <f t="shared" si="2"/>
        <v>14</v>
      </c>
      <c r="J5" s="19">
        <f t="shared" si="2"/>
        <v>16</v>
      </c>
      <c r="K5" s="19">
        <f t="shared" si="2"/>
        <v>18</v>
      </c>
      <c r="L5" s="19">
        <f t="shared" si="2"/>
        <v>20</v>
      </c>
      <c r="M5" s="19">
        <f t="shared" si="2"/>
        <v>22</v>
      </c>
      <c r="N5" s="19">
        <f t="shared" si="2"/>
        <v>24</v>
      </c>
      <c r="O5" s="19">
        <f t="shared" si="2"/>
        <v>26</v>
      </c>
    </row>
    <row r="6" spans="2:15">
      <c r="B6" s="21">
        <f t="shared" ref="B6:B16" si="3">B5+1</f>
        <v>3</v>
      </c>
      <c r="C6" s="19">
        <f t="shared" si="2"/>
        <v>3</v>
      </c>
      <c r="D6" s="19">
        <f t="shared" si="2"/>
        <v>6</v>
      </c>
      <c r="E6" s="19">
        <f t="shared" si="2"/>
        <v>9</v>
      </c>
      <c r="F6" s="19">
        <f t="shared" si="2"/>
        <v>12</v>
      </c>
      <c r="G6" s="19">
        <f t="shared" si="2"/>
        <v>15</v>
      </c>
      <c r="H6" s="19">
        <f t="shared" si="2"/>
        <v>18</v>
      </c>
      <c r="I6" s="19">
        <f t="shared" si="2"/>
        <v>21</v>
      </c>
      <c r="J6" s="19">
        <f t="shared" si="2"/>
        <v>24</v>
      </c>
      <c r="K6" s="19">
        <f t="shared" si="2"/>
        <v>27</v>
      </c>
      <c r="L6" s="19">
        <f t="shared" si="2"/>
        <v>30</v>
      </c>
      <c r="M6" s="19">
        <f t="shared" si="2"/>
        <v>33</v>
      </c>
      <c r="N6" s="19">
        <f t="shared" si="2"/>
        <v>36</v>
      </c>
      <c r="O6" s="19">
        <f t="shared" si="2"/>
        <v>39</v>
      </c>
    </row>
    <row r="7" spans="2:15">
      <c r="B7" s="21">
        <f t="shared" si="3"/>
        <v>4</v>
      </c>
      <c r="C7" s="19">
        <f t="shared" si="2"/>
        <v>4</v>
      </c>
      <c r="D7" s="19">
        <f t="shared" si="2"/>
        <v>8</v>
      </c>
      <c r="E7" s="19">
        <f t="shared" si="2"/>
        <v>12</v>
      </c>
      <c r="F7" s="19">
        <f t="shared" si="2"/>
        <v>16</v>
      </c>
      <c r="G7" s="19">
        <f t="shared" si="2"/>
        <v>20</v>
      </c>
      <c r="H7" s="19">
        <f t="shared" si="2"/>
        <v>24</v>
      </c>
      <c r="I7" s="19">
        <f t="shared" si="2"/>
        <v>28</v>
      </c>
      <c r="J7" s="19">
        <f t="shared" si="2"/>
        <v>32</v>
      </c>
      <c r="K7" s="19">
        <f t="shared" si="2"/>
        <v>36</v>
      </c>
      <c r="L7" s="19">
        <f t="shared" si="2"/>
        <v>40</v>
      </c>
      <c r="M7" s="19">
        <f t="shared" si="2"/>
        <v>44</v>
      </c>
      <c r="N7" s="19">
        <f t="shared" si="2"/>
        <v>48</v>
      </c>
      <c r="O7" s="19">
        <f t="shared" si="2"/>
        <v>52</v>
      </c>
    </row>
    <row r="8" spans="2:15">
      <c r="B8" s="21">
        <f t="shared" si="3"/>
        <v>5</v>
      </c>
      <c r="C8" s="19">
        <f t="shared" si="2"/>
        <v>5</v>
      </c>
      <c r="D8" s="19">
        <f t="shared" si="2"/>
        <v>10</v>
      </c>
      <c r="E8" s="19">
        <f t="shared" si="2"/>
        <v>15</v>
      </c>
      <c r="F8" s="19">
        <f t="shared" si="2"/>
        <v>20</v>
      </c>
      <c r="G8" s="19">
        <f t="shared" si="2"/>
        <v>25</v>
      </c>
      <c r="H8" s="19">
        <f t="shared" si="2"/>
        <v>30</v>
      </c>
      <c r="I8" s="19">
        <f t="shared" si="2"/>
        <v>35</v>
      </c>
      <c r="J8" s="19">
        <f t="shared" si="2"/>
        <v>40</v>
      </c>
      <c r="K8" s="19">
        <f t="shared" si="2"/>
        <v>45</v>
      </c>
      <c r="L8" s="19">
        <f t="shared" si="2"/>
        <v>50</v>
      </c>
      <c r="M8" s="19">
        <f t="shared" si="2"/>
        <v>55</v>
      </c>
      <c r="N8" s="19">
        <f t="shared" si="2"/>
        <v>60</v>
      </c>
      <c r="O8" s="19">
        <f t="shared" si="2"/>
        <v>65</v>
      </c>
    </row>
    <row r="9" spans="2:15">
      <c r="B9" s="21">
        <f t="shared" si="3"/>
        <v>6</v>
      </c>
      <c r="C9" s="19">
        <f t="shared" si="2"/>
        <v>6</v>
      </c>
      <c r="D9" s="19">
        <f t="shared" si="2"/>
        <v>12</v>
      </c>
      <c r="E9" s="19">
        <f t="shared" si="2"/>
        <v>18</v>
      </c>
      <c r="F9" s="19">
        <f t="shared" si="2"/>
        <v>24</v>
      </c>
      <c r="G9" s="19">
        <f t="shared" si="2"/>
        <v>30</v>
      </c>
      <c r="H9" s="19">
        <f t="shared" si="2"/>
        <v>36</v>
      </c>
      <c r="I9" s="19">
        <f t="shared" si="2"/>
        <v>42</v>
      </c>
      <c r="J9" s="19">
        <f t="shared" si="2"/>
        <v>48</v>
      </c>
      <c r="K9" s="19">
        <f t="shared" si="2"/>
        <v>54</v>
      </c>
      <c r="L9" s="19">
        <f t="shared" si="2"/>
        <v>60</v>
      </c>
      <c r="M9" s="19">
        <f t="shared" si="2"/>
        <v>66</v>
      </c>
      <c r="N9" s="19">
        <f t="shared" si="2"/>
        <v>72</v>
      </c>
      <c r="O9" s="19">
        <f t="shared" si="2"/>
        <v>78</v>
      </c>
    </row>
    <row r="10" spans="2:15">
      <c r="B10" s="21">
        <f t="shared" si="3"/>
        <v>7</v>
      </c>
      <c r="C10" s="19">
        <f t="shared" si="2"/>
        <v>7</v>
      </c>
      <c r="D10" s="19">
        <f t="shared" si="2"/>
        <v>14</v>
      </c>
      <c r="E10" s="19">
        <f t="shared" si="2"/>
        <v>21</v>
      </c>
      <c r="F10" s="19">
        <f t="shared" si="2"/>
        <v>28</v>
      </c>
      <c r="G10" s="19">
        <f t="shared" si="2"/>
        <v>35</v>
      </c>
      <c r="H10" s="19">
        <f t="shared" si="2"/>
        <v>42</v>
      </c>
      <c r="I10" s="19">
        <f t="shared" si="2"/>
        <v>49</v>
      </c>
      <c r="J10" s="19">
        <f t="shared" si="2"/>
        <v>56</v>
      </c>
      <c r="K10" s="19">
        <f t="shared" si="2"/>
        <v>63</v>
      </c>
      <c r="L10" s="19">
        <f t="shared" si="2"/>
        <v>70</v>
      </c>
      <c r="M10" s="19">
        <f t="shared" si="2"/>
        <v>77</v>
      </c>
      <c r="N10" s="19">
        <f t="shared" si="2"/>
        <v>84</v>
      </c>
      <c r="O10" s="19">
        <f t="shared" si="2"/>
        <v>91</v>
      </c>
    </row>
    <row r="11" spans="2:15">
      <c r="B11" s="21">
        <f t="shared" si="3"/>
        <v>8</v>
      </c>
      <c r="C11" s="19">
        <f t="shared" si="2"/>
        <v>8</v>
      </c>
      <c r="D11" s="19">
        <f t="shared" si="2"/>
        <v>16</v>
      </c>
      <c r="E11" s="19">
        <f t="shared" si="2"/>
        <v>24</v>
      </c>
      <c r="F11" s="19">
        <f t="shared" si="2"/>
        <v>32</v>
      </c>
      <c r="G11" s="19">
        <f t="shared" si="2"/>
        <v>40</v>
      </c>
      <c r="H11" s="19">
        <f t="shared" si="2"/>
        <v>48</v>
      </c>
      <c r="I11" s="19">
        <f t="shared" si="2"/>
        <v>56</v>
      </c>
      <c r="J11" s="19">
        <f t="shared" si="2"/>
        <v>64</v>
      </c>
      <c r="K11" s="19">
        <f t="shared" si="2"/>
        <v>72</v>
      </c>
      <c r="L11" s="19">
        <f t="shared" si="2"/>
        <v>80</v>
      </c>
      <c r="M11" s="19">
        <f t="shared" si="2"/>
        <v>88</v>
      </c>
      <c r="N11" s="19">
        <f t="shared" si="2"/>
        <v>96</v>
      </c>
      <c r="O11" s="19">
        <f t="shared" si="2"/>
        <v>104</v>
      </c>
    </row>
    <row r="12" spans="2:15">
      <c r="B12" s="21">
        <f t="shared" si="3"/>
        <v>9</v>
      </c>
      <c r="C12" s="19">
        <f t="shared" si="2"/>
        <v>9</v>
      </c>
      <c r="D12" s="19">
        <f t="shared" si="2"/>
        <v>18</v>
      </c>
      <c r="E12" s="19">
        <f t="shared" si="2"/>
        <v>27</v>
      </c>
      <c r="F12" s="19">
        <f t="shared" si="2"/>
        <v>36</v>
      </c>
      <c r="G12" s="19">
        <f t="shared" si="2"/>
        <v>45</v>
      </c>
      <c r="H12" s="19">
        <f t="shared" si="2"/>
        <v>54</v>
      </c>
      <c r="I12" s="19">
        <f t="shared" si="2"/>
        <v>63</v>
      </c>
      <c r="J12" s="19">
        <f t="shared" si="2"/>
        <v>72</v>
      </c>
      <c r="K12" s="19">
        <f t="shared" si="2"/>
        <v>81</v>
      </c>
      <c r="L12" s="19">
        <f t="shared" si="2"/>
        <v>90</v>
      </c>
      <c r="M12" s="19">
        <f t="shared" si="2"/>
        <v>99</v>
      </c>
      <c r="N12" s="19">
        <f t="shared" si="2"/>
        <v>108</v>
      </c>
      <c r="O12" s="19">
        <f t="shared" si="2"/>
        <v>117</v>
      </c>
    </row>
    <row r="13" spans="2:15">
      <c r="B13" s="21">
        <f t="shared" si="3"/>
        <v>10</v>
      </c>
      <c r="C13" s="19">
        <f t="shared" si="2"/>
        <v>10</v>
      </c>
      <c r="D13" s="19">
        <f t="shared" si="2"/>
        <v>20</v>
      </c>
      <c r="E13" s="19">
        <f t="shared" si="2"/>
        <v>30</v>
      </c>
      <c r="F13" s="19">
        <f t="shared" si="2"/>
        <v>40</v>
      </c>
      <c r="G13" s="19">
        <f t="shared" si="2"/>
        <v>50</v>
      </c>
      <c r="H13" s="19">
        <f t="shared" si="2"/>
        <v>60</v>
      </c>
      <c r="I13" s="19">
        <f t="shared" si="2"/>
        <v>70</v>
      </c>
      <c r="J13" s="19">
        <f t="shared" si="2"/>
        <v>80</v>
      </c>
      <c r="K13" s="19">
        <f t="shared" si="2"/>
        <v>90</v>
      </c>
      <c r="L13" s="19">
        <f t="shared" si="2"/>
        <v>100</v>
      </c>
      <c r="M13" s="19">
        <f t="shared" si="2"/>
        <v>110</v>
      </c>
      <c r="N13" s="19">
        <f t="shared" si="2"/>
        <v>120</v>
      </c>
      <c r="O13" s="19">
        <f t="shared" si="2"/>
        <v>130</v>
      </c>
    </row>
    <row r="14" spans="2:15">
      <c r="B14" s="21">
        <f t="shared" si="3"/>
        <v>11</v>
      </c>
      <c r="C14" s="19">
        <f t="shared" si="2"/>
        <v>11</v>
      </c>
      <c r="D14" s="19">
        <f t="shared" si="2"/>
        <v>22</v>
      </c>
      <c r="E14" s="19">
        <f t="shared" si="2"/>
        <v>33</v>
      </c>
      <c r="F14" s="19">
        <f t="shared" si="2"/>
        <v>44</v>
      </c>
      <c r="G14" s="19">
        <f t="shared" si="2"/>
        <v>55</v>
      </c>
      <c r="H14" s="19">
        <f t="shared" si="2"/>
        <v>66</v>
      </c>
      <c r="I14" s="19">
        <f t="shared" si="2"/>
        <v>77</v>
      </c>
      <c r="J14" s="19">
        <f t="shared" si="2"/>
        <v>88</v>
      </c>
      <c r="K14" s="19">
        <f t="shared" si="2"/>
        <v>99</v>
      </c>
      <c r="L14" s="19">
        <f t="shared" si="2"/>
        <v>110</v>
      </c>
      <c r="M14" s="19">
        <f t="shared" si="2"/>
        <v>121</v>
      </c>
      <c r="N14" s="19">
        <f t="shared" si="2"/>
        <v>132</v>
      </c>
      <c r="O14" s="19">
        <f t="shared" si="2"/>
        <v>143</v>
      </c>
    </row>
    <row r="15" spans="2:15">
      <c r="B15" s="21">
        <f t="shared" si="3"/>
        <v>12</v>
      </c>
      <c r="C15" s="19">
        <f t="shared" si="2"/>
        <v>12</v>
      </c>
      <c r="D15" s="19">
        <f t="shared" si="2"/>
        <v>24</v>
      </c>
      <c r="E15" s="19">
        <f t="shared" si="2"/>
        <v>36</v>
      </c>
      <c r="F15" s="19">
        <f t="shared" si="2"/>
        <v>48</v>
      </c>
      <c r="G15" s="19">
        <f t="shared" si="2"/>
        <v>60</v>
      </c>
      <c r="H15" s="19">
        <f t="shared" si="2"/>
        <v>72</v>
      </c>
      <c r="I15" s="19">
        <f t="shared" si="2"/>
        <v>84</v>
      </c>
      <c r="J15" s="19">
        <f t="shared" si="2"/>
        <v>96</v>
      </c>
      <c r="K15" s="19">
        <f t="shared" si="2"/>
        <v>108</v>
      </c>
      <c r="L15" s="19">
        <f t="shared" si="2"/>
        <v>120</v>
      </c>
      <c r="M15" s="19">
        <f t="shared" si="2"/>
        <v>132</v>
      </c>
      <c r="N15" s="19">
        <f t="shared" si="2"/>
        <v>144</v>
      </c>
      <c r="O15" s="19">
        <f t="shared" si="2"/>
        <v>156</v>
      </c>
    </row>
    <row r="16" spans="2:15">
      <c r="B16" s="21">
        <f t="shared" si="3"/>
        <v>13</v>
      </c>
      <c r="C16" s="19">
        <f t="shared" si="2"/>
        <v>13</v>
      </c>
      <c r="D16" s="19">
        <f t="shared" si="2"/>
        <v>26</v>
      </c>
      <c r="E16" s="19">
        <f t="shared" si="2"/>
        <v>39</v>
      </c>
      <c r="F16" s="19">
        <f t="shared" si="2"/>
        <v>52</v>
      </c>
      <c r="G16" s="19">
        <f t="shared" si="2"/>
        <v>65</v>
      </c>
      <c r="H16" s="19">
        <f t="shared" si="2"/>
        <v>78</v>
      </c>
      <c r="I16" s="19">
        <f t="shared" si="2"/>
        <v>91</v>
      </c>
      <c r="J16" s="19">
        <f t="shared" si="2"/>
        <v>104</v>
      </c>
      <c r="K16" s="19">
        <f t="shared" si="2"/>
        <v>117</v>
      </c>
      <c r="L16" s="19">
        <f t="shared" si="2"/>
        <v>130</v>
      </c>
      <c r="M16" s="19">
        <f t="shared" si="2"/>
        <v>143</v>
      </c>
      <c r="N16" s="19">
        <f t="shared" si="2"/>
        <v>156</v>
      </c>
      <c r="O16" s="19">
        <f t="shared" si="2"/>
        <v>169</v>
      </c>
    </row>
    <row r="21" spans="4:27">
      <c r="D21" s="19" t="s">
        <v>10</v>
      </c>
      <c r="E21" s="19" t="s">
        <v>10</v>
      </c>
      <c r="F21" s="19"/>
      <c r="Q21" s="4" t="s">
        <v>18</v>
      </c>
      <c r="R21" s="4" t="s">
        <v>19</v>
      </c>
      <c r="S21" s="4" t="s">
        <v>18</v>
      </c>
      <c r="T21" s="4" t="s">
        <v>19</v>
      </c>
      <c r="U21" s="4" t="s">
        <v>18</v>
      </c>
      <c r="V21" s="4" t="s">
        <v>19</v>
      </c>
      <c r="W21" s="4" t="s">
        <v>18</v>
      </c>
      <c r="X21" s="4" t="s">
        <v>19</v>
      </c>
      <c r="Y21" s="4" t="s">
        <v>18</v>
      </c>
      <c r="Z21" s="4" t="s">
        <v>19</v>
      </c>
      <c r="AA21" s="4" t="s">
        <v>18</v>
      </c>
    </row>
    <row r="22" spans="4:27">
      <c r="D22" s="19" t="s">
        <v>6</v>
      </c>
      <c r="E22" s="19" t="s">
        <v>6</v>
      </c>
      <c r="F22" s="19"/>
      <c r="Q22" s="4">
        <f>CODE(Q21)</f>
        <v>65</v>
      </c>
      <c r="R22" s="4">
        <f t="shared" ref="R22:AA22" si="4">CODE(R21)</f>
        <v>66</v>
      </c>
      <c r="S22" s="4">
        <f t="shared" si="4"/>
        <v>65</v>
      </c>
      <c r="T22" s="4">
        <f t="shared" si="4"/>
        <v>66</v>
      </c>
      <c r="U22" s="4">
        <f t="shared" si="4"/>
        <v>65</v>
      </c>
      <c r="V22" s="4">
        <f t="shared" si="4"/>
        <v>66</v>
      </c>
      <c r="W22" s="4">
        <f t="shared" si="4"/>
        <v>65</v>
      </c>
      <c r="X22" s="4">
        <f t="shared" si="4"/>
        <v>66</v>
      </c>
      <c r="Y22" s="4">
        <f t="shared" si="4"/>
        <v>65</v>
      </c>
      <c r="Z22" s="4">
        <f t="shared" si="4"/>
        <v>66</v>
      </c>
      <c r="AA22" s="4">
        <f t="shared" si="4"/>
        <v>65</v>
      </c>
    </row>
    <row r="23" spans="4:27">
      <c r="D23" s="19"/>
      <c r="E23" s="19" t="s">
        <v>6</v>
      </c>
      <c r="F23" s="1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49AC7-2FE3-6741-A99B-CECF12D33C66}">
  <sheetPr codeName="Sheet11"/>
  <dimension ref="B1:U10"/>
  <sheetViews>
    <sheetView workbookViewId="0"/>
  </sheetViews>
  <sheetFormatPr baseColWidth="10" defaultColWidth="3" defaultRowHeight="29"/>
  <cols>
    <col min="2" max="10" width="7.6640625" style="60" customWidth="1"/>
    <col min="12" max="12" width="29.83203125" customWidth="1"/>
  </cols>
  <sheetData>
    <row r="1" spans="2:21" ht="30" thickBot="1">
      <c r="S1" s="61" t="b">
        <v>0</v>
      </c>
      <c r="T1" s="61">
        <v>1</v>
      </c>
      <c r="U1" s="61">
        <v>1</v>
      </c>
    </row>
    <row r="2" spans="2:21">
      <c r="B2" s="62">
        <v>2</v>
      </c>
      <c r="C2" s="63">
        <v>1</v>
      </c>
      <c r="D2" s="64">
        <v>6</v>
      </c>
      <c r="E2" s="62">
        <v>9</v>
      </c>
      <c r="F2" s="63">
        <v>3</v>
      </c>
      <c r="G2" s="64">
        <v>8</v>
      </c>
      <c r="H2" s="62">
        <v>7</v>
      </c>
      <c r="I2" s="63">
        <v>5</v>
      </c>
      <c r="J2" s="64">
        <v>4</v>
      </c>
    </row>
    <row r="3" spans="2:21">
      <c r="B3" s="65">
        <v>7</v>
      </c>
      <c r="C3" s="66">
        <v>9</v>
      </c>
      <c r="D3" s="67">
        <v>8</v>
      </c>
      <c r="E3" s="65">
        <v>6</v>
      </c>
      <c r="F3" s="66">
        <v>5</v>
      </c>
      <c r="G3" s="67">
        <v>4</v>
      </c>
      <c r="H3" s="65">
        <v>1</v>
      </c>
      <c r="I3" s="66">
        <v>3</v>
      </c>
      <c r="J3" s="67">
        <v>2</v>
      </c>
    </row>
    <row r="4" spans="2:21" ht="30" thickBot="1">
      <c r="B4" s="68">
        <v>5</v>
      </c>
      <c r="C4" s="69">
        <v>3</v>
      </c>
      <c r="D4" s="70">
        <v>4</v>
      </c>
      <c r="E4" s="68">
        <v>2</v>
      </c>
      <c r="F4" s="69">
        <v>1</v>
      </c>
      <c r="G4" s="70">
        <v>7</v>
      </c>
      <c r="H4" s="68">
        <v>9</v>
      </c>
      <c r="I4" s="69">
        <v>8</v>
      </c>
      <c r="J4" s="70">
        <v>6</v>
      </c>
    </row>
    <row r="5" spans="2:21">
      <c r="B5" s="62">
        <v>4</v>
      </c>
      <c r="C5" s="63">
        <v>8</v>
      </c>
      <c r="D5" s="64">
        <v>9</v>
      </c>
      <c r="E5" s="62">
        <v>7</v>
      </c>
      <c r="F5" s="63">
        <v>2</v>
      </c>
      <c r="G5" s="64">
        <v>1</v>
      </c>
      <c r="H5" s="62">
        <v>3</v>
      </c>
      <c r="I5" s="63">
        <v>6</v>
      </c>
      <c r="J5" s="64">
        <v>5</v>
      </c>
    </row>
    <row r="6" spans="2:21">
      <c r="B6" s="65">
        <v>1</v>
      </c>
      <c r="C6" s="66">
        <v>7</v>
      </c>
      <c r="D6" s="67">
        <v>2</v>
      </c>
      <c r="E6" s="65">
        <v>5</v>
      </c>
      <c r="F6" s="66">
        <v>6</v>
      </c>
      <c r="G6" s="67">
        <v>3</v>
      </c>
      <c r="H6" s="65">
        <v>8</v>
      </c>
      <c r="I6" s="66">
        <v>4</v>
      </c>
      <c r="J6" s="67">
        <v>9</v>
      </c>
    </row>
    <row r="7" spans="2:21" ht="30" thickBot="1">
      <c r="B7" s="68">
        <v>6</v>
      </c>
      <c r="C7" s="69">
        <v>5</v>
      </c>
      <c r="D7" s="70">
        <v>3</v>
      </c>
      <c r="E7" s="68">
        <v>8</v>
      </c>
      <c r="F7" s="69">
        <v>4</v>
      </c>
      <c r="G7" s="70">
        <v>9</v>
      </c>
      <c r="H7" s="68">
        <v>2</v>
      </c>
      <c r="I7" s="69">
        <v>7</v>
      </c>
      <c r="J7" s="70">
        <v>1</v>
      </c>
    </row>
    <row r="8" spans="2:21">
      <c r="B8" s="62">
        <v>9</v>
      </c>
      <c r="C8" s="63">
        <v>4</v>
      </c>
      <c r="D8" s="64">
        <v>7</v>
      </c>
      <c r="E8" s="62">
        <v>1</v>
      </c>
      <c r="F8" s="63">
        <v>8</v>
      </c>
      <c r="G8" s="64">
        <v>5</v>
      </c>
      <c r="H8" s="62">
        <v>6</v>
      </c>
      <c r="I8" s="63">
        <v>2</v>
      </c>
      <c r="J8" s="64">
        <v>3</v>
      </c>
    </row>
    <row r="9" spans="2:21">
      <c r="B9" s="65">
        <v>8</v>
      </c>
      <c r="C9" s="66">
        <v>6</v>
      </c>
      <c r="D9" s="67">
        <v>5</v>
      </c>
      <c r="E9" s="65">
        <v>3</v>
      </c>
      <c r="F9" s="66">
        <v>9</v>
      </c>
      <c r="G9" s="67">
        <v>2</v>
      </c>
      <c r="H9" s="65">
        <v>4</v>
      </c>
      <c r="I9" s="66">
        <v>1</v>
      </c>
      <c r="J9" s="67">
        <v>7</v>
      </c>
    </row>
    <row r="10" spans="2:21" ht="30" thickBot="1">
      <c r="B10" s="68">
        <v>3</v>
      </c>
      <c r="C10" s="69">
        <v>2</v>
      </c>
      <c r="D10" s="70">
        <v>1</v>
      </c>
      <c r="E10" s="68">
        <v>4</v>
      </c>
      <c r="F10" s="69">
        <v>7</v>
      </c>
      <c r="G10" s="70">
        <v>6</v>
      </c>
      <c r="H10" s="68">
        <v>5</v>
      </c>
      <c r="I10" s="69">
        <v>9</v>
      </c>
      <c r="J10" s="70">
        <v>8</v>
      </c>
    </row>
  </sheetData>
  <protectedRanges>
    <protectedRange sqref="B2:J10" name="Grid"/>
  </protectedRanges>
  <conditionalFormatting sqref="B2:J10">
    <cfRule type="expression" dxfId="8" priority="3">
      <formula>AND(B2=HighlightNumber,AidCode=2)</formula>
    </cfRule>
    <cfRule type="expression" dxfId="7" priority="6">
      <formula>AND($S$1=TRUE,ROW(B2)=$U$1)</formula>
    </cfRule>
    <cfRule type="expression" dxfId="6" priority="7">
      <formula>AND($S$1=TRUE,COLUMN(B2)=$T$1)</formula>
    </cfRule>
    <cfRule type="expression" dxfId="5" priority="8">
      <formula>AND($S$1=TRUE,TRUNC((ROW(B2)-2)/3,0)=TRUNC(($U$1-2)/3,0),TRUNC((COLUMN(B2)-2)/3,0)=TRUNC(($T$1-2)/3,0))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1]!SolveGridOnScreen">
                <anchor moveWithCells="1" sizeWithCells="1">
                  <from>
                    <xdr:col>11</xdr:col>
                    <xdr:colOff>304800</xdr:colOff>
                    <xdr:row>7</xdr:row>
                    <xdr:rowOff>317500</xdr:rowOff>
                  </from>
                  <to>
                    <xdr:col>17</xdr:col>
                    <xdr:colOff>76200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1]!CreateMediumPuzzle">
                <anchor moveWithCells="1">
                  <from>
                    <xdr:col>11</xdr:col>
                    <xdr:colOff>215900</xdr:colOff>
                    <xdr:row>2</xdr:row>
                    <xdr:rowOff>330200</xdr:rowOff>
                  </from>
                  <to>
                    <xdr:col>11</xdr:col>
                    <xdr:colOff>457200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CreateEasyPuzzle">
                <anchor moveWithCells="1">
                  <from>
                    <xdr:col>11</xdr:col>
                    <xdr:colOff>215900</xdr:colOff>
                    <xdr:row>2</xdr:row>
                    <xdr:rowOff>25400</xdr:rowOff>
                  </from>
                  <to>
                    <xdr:col>11</xdr:col>
                    <xdr:colOff>457200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1]!CreateHardPuzzle">
                <anchor moveWithCells="1">
                  <from>
                    <xdr:col>11</xdr:col>
                    <xdr:colOff>215900</xdr:colOff>
                    <xdr:row>3</xdr:row>
                    <xdr:rowOff>279400</xdr:rowOff>
                  </from>
                  <to>
                    <xdr:col>11</xdr:col>
                    <xdr:colOff>457200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1]!CreateExpertPuzzle">
                <anchor moveWithCells="1">
                  <from>
                    <xdr:col>11</xdr:col>
                    <xdr:colOff>215900</xdr:colOff>
                    <xdr:row>4</xdr:row>
                    <xdr:rowOff>215900</xdr:rowOff>
                  </from>
                  <to>
                    <xdr:col>11</xdr:col>
                    <xdr:colOff>457200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1]!CreateExtremePuzzle">
                <anchor moveWithCells="1">
                  <from>
                    <xdr:col>11</xdr:col>
                    <xdr:colOff>215900</xdr:colOff>
                    <xdr:row>5</xdr:row>
                    <xdr:rowOff>152400</xdr:rowOff>
                  </from>
                  <to>
                    <xdr:col>11</xdr:col>
                    <xdr:colOff>457200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1]!CreateOhDearPuzzle">
                <anchor moveWithCells="1">
                  <from>
                    <xdr:col>11</xdr:col>
                    <xdr:colOff>215900</xdr:colOff>
                    <xdr:row>6</xdr:row>
                    <xdr:rowOff>101600</xdr:rowOff>
                  </from>
                  <to>
                    <xdr:col>11</xdr:col>
                    <xdr:colOff>457200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1]!Help">
                <anchor moveWithCells="1" sizeWithCells="1">
                  <from>
                    <xdr:col>12</xdr:col>
                    <xdr:colOff>25400</xdr:colOff>
                    <xdr:row>5</xdr:row>
                    <xdr:rowOff>165100</xdr:rowOff>
                  </from>
                  <to>
                    <xdr:col>17</xdr:col>
                    <xdr:colOff>114300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utton 9">
              <controlPr defaultSize="0" print="0" autoFill="0" autoPict="0" macro="[1]!UnSolve">
                <anchor moveWithCells="1" sizeWithCells="1">
                  <from>
                    <xdr:col>11</xdr:col>
                    <xdr:colOff>304800</xdr:colOff>
                    <xdr:row>8</xdr:row>
                    <xdr:rowOff>317500</xdr:rowOff>
                  </from>
                  <to>
                    <xdr:col>11</xdr:col>
                    <xdr:colOff>1397000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1]!Check">
                <anchor moveWithCells="1">
                  <from>
                    <xdr:col>12</xdr:col>
                    <xdr:colOff>25400</xdr:colOff>
                    <xdr:row>2</xdr:row>
                    <xdr:rowOff>330200</xdr:rowOff>
                  </from>
                  <to>
                    <xdr:col>14</xdr:col>
                    <xdr:colOff>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1]!RemoveAids">
                <anchor moveWithCells="1">
                  <from>
                    <xdr:col>12</xdr:col>
                    <xdr:colOff>25400</xdr:colOff>
                    <xdr:row>2</xdr:row>
                    <xdr:rowOff>25400</xdr:rowOff>
                  </from>
                  <to>
                    <xdr:col>14</xdr:col>
                    <xdr:colOff>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1]!Highlight">
                <anchor moveWithCells="1">
                  <from>
                    <xdr:col>12</xdr:col>
                    <xdr:colOff>25400</xdr:colOff>
                    <xdr:row>3</xdr:row>
                    <xdr:rowOff>292100</xdr:rowOff>
                  </from>
                  <to>
                    <xdr:col>14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1]!NextMove">
                <anchor moveWithCells="1">
                  <from>
                    <xdr:col>12</xdr:col>
                    <xdr:colOff>25400</xdr:colOff>
                    <xdr:row>4</xdr:row>
                    <xdr:rowOff>215900</xdr:rowOff>
                  </from>
                  <to>
                    <xdr:col>14</xdr:col>
                    <xdr:colOff>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1]!Reset">
                <anchor moveWithCells="1" sizeWithCells="1">
                  <from>
                    <xdr:col>11</xdr:col>
                    <xdr:colOff>1651000</xdr:colOff>
                    <xdr:row>8</xdr:row>
                    <xdr:rowOff>317500</xdr:rowOff>
                  </from>
                  <to>
                    <xdr:col>17</xdr:col>
                    <xdr:colOff>76200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12</xdr:col>
                    <xdr:colOff>25400</xdr:colOff>
                    <xdr:row>6</xdr:row>
                    <xdr:rowOff>139700</xdr:rowOff>
                  </from>
                  <to>
                    <xdr:col>14</xdr:col>
                    <xdr:colOff>0</xdr:colOff>
                    <xdr:row>7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C89F336-3422-BD4F-8639-2017B9662EA2}">
            <xm:f>AND(B2&lt;&gt;'/Applications/MAMP/htdocs/classes/csci8_chabot/my.midterm/exCel/[Sudoku-Puzzle-Creator.xlsm]Debug'!#REF!,AidCode=1)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14:cfRule type="expression" priority="2" id="{EA676089-0803-AC45-AEE9-4F4F3B29C206}">
            <xm:f>AND('/Applications/MAMP/htdocs/classes/csci8_chabot/my.midterm/exCel/[Sudoku-Puzzle-Creator.xlsm]Debug'!#REF!=1,AidCode=3)</xm:f>
            <x14:dxf>
              <fill>
                <patternFill>
                  <bgColor theme="7" tint="0.59996337778862885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4" id="{CABBC585-8357-C946-9E2A-9361FBFF0126}">
            <xm:f>AND(AidCode=3,'/Applications/MAMP/htdocs/classes/csci8_chabot/my.midterm/exCel/[Sudoku-Puzzle-Creator.xlsm]Debug'!#REF!&lt;&gt;"")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5" id="{ACA5C1B1-17B1-1B48-8905-1B5E4831BF52}">
            <xm:f>AND(B2='/Applications/MAMP/htdocs/classes/csci8_chabot/my.midterm/exCel/[Sudoku-Puzzle-Creator.xlsm]Debug'!#REF!,AidCode=1)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7C85-510C-F042-BA8A-B9DD5D955AA4}">
  <sheetPr codeName="Sheet10"/>
  <dimension ref="A1:Y24"/>
  <sheetViews>
    <sheetView topLeftCell="A10" zoomScale="125" workbookViewId="0">
      <selection activeCell="R23" sqref="R23"/>
    </sheetView>
  </sheetViews>
  <sheetFormatPr baseColWidth="10" defaultRowHeight="16"/>
  <cols>
    <col min="1" max="2" width="4.1640625" style="48" bestFit="1" customWidth="1"/>
    <col min="3" max="6" width="3.1640625" style="48" bestFit="1" customWidth="1"/>
    <col min="7" max="9" width="4.1640625" style="48" bestFit="1" customWidth="1"/>
    <col min="10" max="10" width="3.1640625" style="48" bestFit="1" customWidth="1"/>
    <col min="11" max="11" width="4.6640625" style="48" bestFit="1" customWidth="1"/>
    <col min="12" max="12" width="5.1640625" style="48" bestFit="1" customWidth="1"/>
    <col min="13" max="16384" width="10.83203125" style="48"/>
  </cols>
  <sheetData>
    <row r="1" spans="1:25">
      <c r="A1" s="48">
        <v>1</v>
      </c>
      <c r="B1" s="48">
        <v>2</v>
      </c>
      <c r="C1" s="48">
        <v>3</v>
      </c>
      <c r="D1" s="48">
        <v>4</v>
      </c>
      <c r="E1" s="48">
        <v>5</v>
      </c>
      <c r="F1" s="48">
        <v>6</v>
      </c>
      <c r="G1" s="48">
        <v>7</v>
      </c>
      <c r="H1" s="48">
        <v>8</v>
      </c>
      <c r="I1" s="48">
        <v>9</v>
      </c>
      <c r="J1" s="48">
        <v>10</v>
      </c>
      <c r="K1" s="48" t="s">
        <v>21</v>
      </c>
      <c r="L1" s="48" t="s">
        <v>22</v>
      </c>
    </row>
    <row r="2" spans="1:25">
      <c r="A2" s="57">
        <v>92</v>
      </c>
      <c r="B2" s="57">
        <v>62</v>
      </c>
      <c r="C2" s="57">
        <v>82</v>
      </c>
      <c r="D2" s="57">
        <v>98</v>
      </c>
      <c r="E2" s="57">
        <v>61</v>
      </c>
      <c r="F2" s="57">
        <v>96</v>
      </c>
      <c r="G2" s="57">
        <v>74</v>
      </c>
      <c r="H2" s="57">
        <v>86</v>
      </c>
      <c r="I2" s="57">
        <v>75</v>
      </c>
      <c r="J2" s="57">
        <v>90</v>
      </c>
      <c r="K2" s="48">
        <f>SUM(A2:J2)</f>
        <v>816</v>
      </c>
      <c r="L2" s="48">
        <f>AVERAGE(A2:J2)</f>
        <v>81.599999999999994</v>
      </c>
    </row>
    <row r="3" spans="1:25">
      <c r="A3" s="57">
        <v>71</v>
      </c>
      <c r="B3" s="57">
        <v>67</v>
      </c>
      <c r="C3" s="57">
        <v>83</v>
      </c>
      <c r="D3" s="57">
        <v>69</v>
      </c>
      <c r="E3" s="57">
        <v>71</v>
      </c>
      <c r="F3" s="57">
        <v>80</v>
      </c>
      <c r="G3" s="57">
        <v>87</v>
      </c>
      <c r="H3" s="57">
        <v>63</v>
      </c>
      <c r="I3" s="57">
        <v>100</v>
      </c>
      <c r="J3" s="57">
        <v>70</v>
      </c>
      <c r="K3" s="48">
        <f>SUM(A3:J3)</f>
        <v>761</v>
      </c>
      <c r="L3" s="48">
        <f t="shared" ref="L3:L19" si="0">AVERAGE(A3:J3)</f>
        <v>76.099999999999994</v>
      </c>
      <c r="S3" s="100" t="s">
        <v>23</v>
      </c>
      <c r="T3" s="100"/>
      <c r="U3" s="100"/>
    </row>
    <row r="4" spans="1:25">
      <c r="A4" s="57">
        <v>66</v>
      </c>
      <c r="B4" s="57">
        <v>100</v>
      </c>
      <c r="C4" s="57">
        <v>98</v>
      </c>
      <c r="D4" s="57">
        <v>64</v>
      </c>
      <c r="E4" s="57">
        <v>79</v>
      </c>
      <c r="F4" s="57">
        <v>65</v>
      </c>
      <c r="G4" s="57">
        <v>86</v>
      </c>
      <c r="H4" s="57">
        <v>74</v>
      </c>
      <c r="I4" s="57">
        <v>63</v>
      </c>
      <c r="J4" s="57">
        <v>78</v>
      </c>
      <c r="K4" s="48">
        <f t="shared" ref="K4:K19" si="1">SUM(A4:J4)</f>
        <v>773</v>
      </c>
      <c r="L4" s="48">
        <f t="shared" si="0"/>
        <v>77.3</v>
      </c>
      <c r="S4" s="52" t="b">
        <f t="shared" ref="S4:U6" si="2">AND($P22&lt;&gt;"",$P22=$Q22,$Q22=$R22)</f>
        <v>1</v>
      </c>
      <c r="T4" s="52" t="b">
        <f t="shared" si="2"/>
        <v>1</v>
      </c>
      <c r="U4" s="52" t="b">
        <f t="shared" si="2"/>
        <v>1</v>
      </c>
      <c r="W4" s="52" t="b">
        <f t="shared" ref="W4:Y6" si="3">AND(P22&lt;&gt;"",OR(S4,S8,S12) )</f>
        <v>1</v>
      </c>
      <c r="X4" s="52" t="b">
        <f t="shared" si="3"/>
        <v>1</v>
      </c>
      <c r="Y4" s="52" t="b">
        <f t="shared" si="3"/>
        <v>1</v>
      </c>
    </row>
    <row r="5" spans="1:25">
      <c r="A5" s="57">
        <v>96</v>
      </c>
      <c r="B5" s="57">
        <v>65</v>
      </c>
      <c r="C5" s="57">
        <v>81</v>
      </c>
      <c r="D5" s="57">
        <v>91</v>
      </c>
      <c r="E5" s="57">
        <v>60</v>
      </c>
      <c r="F5" s="57">
        <v>93</v>
      </c>
      <c r="G5" s="57">
        <v>62</v>
      </c>
      <c r="H5" s="57">
        <v>69</v>
      </c>
      <c r="I5" s="57">
        <v>61</v>
      </c>
      <c r="J5" s="57">
        <v>86</v>
      </c>
      <c r="K5" s="48">
        <f t="shared" si="1"/>
        <v>764</v>
      </c>
      <c r="L5" s="48">
        <f t="shared" si="0"/>
        <v>76.400000000000006</v>
      </c>
      <c r="S5" s="52" t="b">
        <f t="shared" si="2"/>
        <v>0</v>
      </c>
      <c r="T5" s="52" t="b">
        <f t="shared" si="2"/>
        <v>0</v>
      </c>
      <c r="U5" s="52" t="b">
        <f t="shared" si="2"/>
        <v>0</v>
      </c>
      <c r="W5" s="52" t="b">
        <f t="shared" si="3"/>
        <v>0</v>
      </c>
      <c r="X5" s="52" t="b">
        <f t="shared" si="3"/>
        <v>0</v>
      </c>
      <c r="Y5" s="52" t="b">
        <f t="shared" si="3"/>
        <v>0</v>
      </c>
    </row>
    <row r="6" spans="1:25">
      <c r="A6" s="57">
        <v>62</v>
      </c>
      <c r="B6" s="57">
        <v>71</v>
      </c>
      <c r="C6" s="57">
        <v>89</v>
      </c>
      <c r="D6" s="57">
        <v>60</v>
      </c>
      <c r="E6" s="57">
        <v>60</v>
      </c>
      <c r="F6" s="57">
        <v>70</v>
      </c>
      <c r="G6" s="57">
        <v>65</v>
      </c>
      <c r="H6" s="57">
        <v>67</v>
      </c>
      <c r="I6" s="57">
        <v>86</v>
      </c>
      <c r="J6" s="57">
        <v>95</v>
      </c>
      <c r="K6" s="48">
        <f t="shared" si="1"/>
        <v>725</v>
      </c>
      <c r="L6" s="48">
        <f t="shared" si="0"/>
        <v>72.5</v>
      </c>
      <c r="S6" s="52" t="b">
        <f t="shared" si="2"/>
        <v>0</v>
      </c>
      <c r="T6" s="52" t="b">
        <f t="shared" si="2"/>
        <v>0</v>
      </c>
      <c r="U6" s="52" t="b">
        <f t="shared" si="2"/>
        <v>0</v>
      </c>
      <c r="W6" s="52" t="b">
        <f t="shared" si="3"/>
        <v>0</v>
      </c>
      <c r="X6" s="52" t="b">
        <f t="shared" si="3"/>
        <v>0</v>
      </c>
      <c r="Y6" s="52" t="b">
        <f t="shared" si="3"/>
        <v>0</v>
      </c>
    </row>
    <row r="7" spans="1:25">
      <c r="A7" s="57">
        <v>83</v>
      </c>
      <c r="B7" s="57">
        <v>100</v>
      </c>
      <c r="C7" s="57">
        <v>97</v>
      </c>
      <c r="D7" s="57">
        <v>68</v>
      </c>
      <c r="E7" s="57">
        <v>77</v>
      </c>
      <c r="F7" s="57">
        <v>66</v>
      </c>
      <c r="G7" s="57">
        <v>89</v>
      </c>
      <c r="H7" s="57">
        <v>100</v>
      </c>
      <c r="I7" s="57">
        <v>73</v>
      </c>
      <c r="J7" s="57">
        <v>95</v>
      </c>
      <c r="K7" s="48">
        <f t="shared" si="1"/>
        <v>848</v>
      </c>
      <c r="L7" s="48">
        <f t="shared" si="0"/>
        <v>84.8</v>
      </c>
      <c r="S7" s="101" t="s">
        <v>24</v>
      </c>
      <c r="T7" s="101"/>
      <c r="U7" s="101"/>
    </row>
    <row r="8" spans="1:25">
      <c r="A8" s="57">
        <v>96</v>
      </c>
      <c r="B8" s="57">
        <v>78</v>
      </c>
      <c r="C8" s="57">
        <v>63</v>
      </c>
      <c r="D8" s="57">
        <v>63</v>
      </c>
      <c r="E8" s="57">
        <v>64</v>
      </c>
      <c r="F8" s="57">
        <v>61</v>
      </c>
      <c r="G8" s="57">
        <v>61</v>
      </c>
      <c r="H8" s="57">
        <v>65</v>
      </c>
      <c r="I8" s="57">
        <v>83</v>
      </c>
      <c r="J8" s="57">
        <v>61</v>
      </c>
      <c r="K8" s="48">
        <f t="shared" si="1"/>
        <v>695</v>
      </c>
      <c r="L8" s="48">
        <f t="shared" si="0"/>
        <v>69.5</v>
      </c>
      <c r="S8" s="52" t="b">
        <f t="shared" ref="S8:U10" si="4">AND(P$22&lt;&gt;"",P$22=P$23,P$23=P$24)</f>
        <v>0</v>
      </c>
      <c r="T8" s="52" t="b">
        <f t="shared" si="4"/>
        <v>0</v>
      </c>
      <c r="U8" s="52" t="b">
        <f t="shared" si="4"/>
        <v>0</v>
      </c>
    </row>
    <row r="9" spans="1:25">
      <c r="A9" s="57">
        <v>97</v>
      </c>
      <c r="B9" s="57">
        <v>64</v>
      </c>
      <c r="C9" s="57">
        <v>89</v>
      </c>
      <c r="D9" s="57">
        <v>82</v>
      </c>
      <c r="E9" s="57">
        <v>99</v>
      </c>
      <c r="F9" s="57">
        <v>98</v>
      </c>
      <c r="G9" s="57">
        <v>97</v>
      </c>
      <c r="H9" s="57">
        <v>92</v>
      </c>
      <c r="I9" s="57">
        <v>80</v>
      </c>
      <c r="J9" s="57">
        <v>83</v>
      </c>
      <c r="K9" s="48">
        <f t="shared" si="1"/>
        <v>881</v>
      </c>
      <c r="L9" s="48">
        <f t="shared" si="0"/>
        <v>88.1</v>
      </c>
      <c r="S9" s="52" t="b">
        <f t="shared" si="4"/>
        <v>0</v>
      </c>
      <c r="T9" s="52" t="b">
        <f t="shared" si="4"/>
        <v>0</v>
      </c>
      <c r="U9" s="52" t="b">
        <f t="shared" si="4"/>
        <v>0</v>
      </c>
    </row>
    <row r="10" spans="1:25">
      <c r="A10" s="57">
        <v>98</v>
      </c>
      <c r="B10" s="57">
        <v>63</v>
      </c>
      <c r="C10" s="57">
        <v>93</v>
      </c>
      <c r="D10" s="57">
        <v>96</v>
      </c>
      <c r="E10" s="57">
        <v>83</v>
      </c>
      <c r="F10" s="57">
        <v>84</v>
      </c>
      <c r="G10" s="57">
        <v>87</v>
      </c>
      <c r="H10" s="57">
        <v>86</v>
      </c>
      <c r="I10" s="57">
        <v>78</v>
      </c>
      <c r="J10" s="57">
        <v>78</v>
      </c>
      <c r="K10" s="48">
        <f t="shared" si="1"/>
        <v>846</v>
      </c>
      <c r="L10" s="48">
        <f t="shared" si="0"/>
        <v>84.6</v>
      </c>
      <c r="S10" s="52" t="b">
        <f t="shared" si="4"/>
        <v>0</v>
      </c>
      <c r="T10" s="52" t="b">
        <f t="shared" si="4"/>
        <v>0</v>
      </c>
      <c r="U10" s="52" t="b">
        <f t="shared" si="4"/>
        <v>0</v>
      </c>
    </row>
    <row r="11" spans="1:25">
      <c r="A11" s="57">
        <v>88</v>
      </c>
      <c r="B11" s="57">
        <v>90</v>
      </c>
      <c r="C11" s="57">
        <v>83</v>
      </c>
      <c r="D11" s="57">
        <v>79</v>
      </c>
      <c r="E11" s="57">
        <v>99</v>
      </c>
      <c r="F11" s="57">
        <v>90</v>
      </c>
      <c r="G11" s="57">
        <v>67</v>
      </c>
      <c r="H11" s="57">
        <v>84</v>
      </c>
      <c r="I11" s="57">
        <v>88</v>
      </c>
      <c r="J11" s="57">
        <v>84</v>
      </c>
      <c r="K11" s="48">
        <f t="shared" si="1"/>
        <v>852</v>
      </c>
      <c r="L11" s="48">
        <f t="shared" si="0"/>
        <v>85.2</v>
      </c>
      <c r="S11" s="101" t="s">
        <v>25</v>
      </c>
      <c r="T11" s="101"/>
      <c r="U11" s="101"/>
    </row>
    <row r="12" spans="1:25">
      <c r="A12" s="57">
        <v>81</v>
      </c>
      <c r="B12" s="57">
        <v>67</v>
      </c>
      <c r="C12" s="57">
        <v>80</v>
      </c>
      <c r="D12" s="57">
        <v>63</v>
      </c>
      <c r="E12" s="57">
        <v>64</v>
      </c>
      <c r="F12" s="57">
        <v>86</v>
      </c>
      <c r="G12" s="57">
        <v>61</v>
      </c>
      <c r="H12" s="57">
        <v>89</v>
      </c>
      <c r="I12" s="57">
        <v>87</v>
      </c>
      <c r="J12" s="57">
        <v>79</v>
      </c>
      <c r="K12" s="48">
        <f t="shared" si="1"/>
        <v>757</v>
      </c>
      <c r="L12" s="48">
        <f t="shared" si="0"/>
        <v>75.7</v>
      </c>
      <c r="S12" s="52" t="b">
        <f>IF(P22="", FALSE, AND($P$22=$Q$23,$Q$23=$R$24) )</f>
        <v>0</v>
      </c>
      <c r="T12" s="52" t="b">
        <f>AND($P$23&lt;&gt;"", $P$22=$Q$23,$Q$23=$R$24)</f>
        <v>0</v>
      </c>
      <c r="U12" s="52" t="b">
        <f>AND($P$23&lt;&gt;"", $P$22=$Q$23,$Q$23=$R$24)</f>
        <v>0</v>
      </c>
    </row>
    <row r="13" spans="1:25">
      <c r="A13" s="57">
        <v>92</v>
      </c>
      <c r="B13" s="57">
        <v>87</v>
      </c>
      <c r="C13" s="57">
        <v>74</v>
      </c>
      <c r="D13" s="57">
        <v>88</v>
      </c>
      <c r="E13" s="57">
        <v>81</v>
      </c>
      <c r="F13" s="57">
        <v>86</v>
      </c>
      <c r="G13" s="57">
        <v>78</v>
      </c>
      <c r="H13" s="57">
        <v>69</v>
      </c>
      <c r="I13" s="57">
        <v>61</v>
      </c>
      <c r="J13" s="57">
        <v>70</v>
      </c>
      <c r="K13" s="48">
        <f t="shared" si="1"/>
        <v>786</v>
      </c>
      <c r="L13" s="48">
        <f t="shared" si="0"/>
        <v>78.599999999999994</v>
      </c>
      <c r="S13" s="52"/>
      <c r="T13" s="52" t="b">
        <f>OR(AND($P$22=$Q$23,$Q$23=$R$24),AND($P$24=$Q$23,$Q$23=$R$22))</f>
        <v>0</v>
      </c>
      <c r="U13" s="52"/>
    </row>
    <row r="14" spans="1:25">
      <c r="A14" s="57">
        <v>90</v>
      </c>
      <c r="B14" s="57">
        <v>62</v>
      </c>
      <c r="C14" s="57">
        <v>67</v>
      </c>
      <c r="D14" s="57">
        <v>65</v>
      </c>
      <c r="E14" s="57">
        <v>98</v>
      </c>
      <c r="F14" s="57">
        <v>70</v>
      </c>
      <c r="G14" s="57">
        <v>100</v>
      </c>
      <c r="H14" s="57">
        <v>79</v>
      </c>
      <c r="I14" s="57">
        <v>88</v>
      </c>
      <c r="J14" s="57">
        <v>96</v>
      </c>
      <c r="K14" s="48">
        <f t="shared" si="1"/>
        <v>815</v>
      </c>
      <c r="L14" s="48">
        <f t="shared" si="0"/>
        <v>81.5</v>
      </c>
      <c r="S14" s="52" t="b">
        <f>AND($P$24=$Q$23,$Q$23=$R$22)</f>
        <v>0</v>
      </c>
      <c r="T14" s="52"/>
      <c r="U14" s="52" t="b">
        <f>AND($P$22=$Q$23,$Q$23=$R$24)</f>
        <v>0</v>
      </c>
    </row>
    <row r="15" spans="1:25">
      <c r="A15" s="57">
        <v>82</v>
      </c>
      <c r="B15" s="57">
        <v>73</v>
      </c>
      <c r="C15" s="57">
        <v>72</v>
      </c>
      <c r="D15" s="57">
        <v>96</v>
      </c>
      <c r="E15" s="57">
        <v>91</v>
      </c>
      <c r="F15" s="57">
        <v>93</v>
      </c>
      <c r="G15" s="57">
        <v>82</v>
      </c>
      <c r="H15" s="57">
        <v>98</v>
      </c>
      <c r="I15" s="57">
        <v>76</v>
      </c>
      <c r="J15" s="57">
        <v>79</v>
      </c>
      <c r="K15" s="48">
        <f t="shared" si="1"/>
        <v>842</v>
      </c>
      <c r="L15" s="48">
        <f t="shared" si="0"/>
        <v>84.2</v>
      </c>
    </row>
    <row r="16" spans="1:25">
      <c r="A16" s="57">
        <v>70</v>
      </c>
      <c r="B16" s="57">
        <v>61</v>
      </c>
      <c r="C16" s="57">
        <v>98</v>
      </c>
      <c r="D16" s="57">
        <v>86</v>
      </c>
      <c r="E16" s="57">
        <v>69</v>
      </c>
      <c r="F16" s="57">
        <v>64</v>
      </c>
      <c r="G16" s="57">
        <v>71</v>
      </c>
      <c r="H16" s="57">
        <v>89</v>
      </c>
      <c r="I16" s="57">
        <v>79</v>
      </c>
      <c r="J16" s="57">
        <v>81</v>
      </c>
      <c r="K16" s="48">
        <f t="shared" si="1"/>
        <v>768</v>
      </c>
      <c r="L16" s="48">
        <f t="shared" si="0"/>
        <v>76.8</v>
      </c>
    </row>
    <row r="17" spans="1:18">
      <c r="A17" s="57">
        <v>86</v>
      </c>
      <c r="B17" s="57">
        <v>89</v>
      </c>
      <c r="C17" s="57">
        <v>86</v>
      </c>
      <c r="D17" s="57">
        <v>67</v>
      </c>
      <c r="E17" s="57">
        <v>90</v>
      </c>
      <c r="F17" s="57">
        <v>71</v>
      </c>
      <c r="G17" s="57">
        <v>75</v>
      </c>
      <c r="H17" s="57">
        <v>79</v>
      </c>
      <c r="I17" s="57">
        <v>90</v>
      </c>
      <c r="J17" s="57">
        <v>87</v>
      </c>
      <c r="K17" s="48">
        <f t="shared" si="1"/>
        <v>820</v>
      </c>
      <c r="L17" s="48">
        <f t="shared" si="0"/>
        <v>82</v>
      </c>
    </row>
    <row r="18" spans="1:18">
      <c r="A18" s="57">
        <v>95</v>
      </c>
      <c r="B18" s="57">
        <v>87</v>
      </c>
      <c r="C18" s="57">
        <v>96</v>
      </c>
      <c r="D18" s="57">
        <v>89</v>
      </c>
      <c r="E18" s="57">
        <v>70</v>
      </c>
      <c r="F18" s="57">
        <v>94</v>
      </c>
      <c r="G18" s="57">
        <v>65</v>
      </c>
      <c r="H18" s="57">
        <v>84</v>
      </c>
      <c r="I18" s="57">
        <v>77</v>
      </c>
      <c r="J18" s="57">
        <v>70</v>
      </c>
      <c r="K18" s="48">
        <f t="shared" si="1"/>
        <v>827</v>
      </c>
      <c r="L18" s="48">
        <f t="shared" si="0"/>
        <v>82.7</v>
      </c>
    </row>
    <row r="19" spans="1:18">
      <c r="A19" s="57">
        <v>100</v>
      </c>
      <c r="B19" s="57">
        <v>89</v>
      </c>
      <c r="C19" s="57">
        <v>76</v>
      </c>
      <c r="D19" s="57">
        <v>83</v>
      </c>
      <c r="E19" s="57">
        <v>79</v>
      </c>
      <c r="F19" s="57">
        <v>91</v>
      </c>
      <c r="G19" s="57">
        <v>85</v>
      </c>
      <c r="H19" s="57">
        <v>86</v>
      </c>
      <c r="I19" s="57">
        <v>94</v>
      </c>
      <c r="J19" s="57">
        <v>69</v>
      </c>
      <c r="K19" s="48">
        <f t="shared" si="1"/>
        <v>852</v>
      </c>
      <c r="L19" s="48">
        <f t="shared" si="0"/>
        <v>85.2</v>
      </c>
    </row>
    <row r="22" spans="1:18" s="58" customFormat="1" ht="48" customHeight="1">
      <c r="P22" s="59" t="s">
        <v>6</v>
      </c>
      <c r="Q22" s="59" t="s">
        <v>6</v>
      </c>
      <c r="R22" s="59" t="s">
        <v>6</v>
      </c>
    </row>
    <row r="23" spans="1:18" s="58" customFormat="1" ht="48" customHeight="1">
      <c r="P23" s="59" t="s">
        <v>6</v>
      </c>
      <c r="Q23" s="59" t="s">
        <v>10</v>
      </c>
      <c r="R23" s="59" t="s">
        <v>6</v>
      </c>
    </row>
    <row r="24" spans="1:18" s="58" customFormat="1" ht="48" customHeight="1">
      <c r="P24" s="59"/>
      <c r="Q24" s="59" t="s">
        <v>6</v>
      </c>
      <c r="R24" s="59"/>
    </row>
  </sheetData>
  <mergeCells count="3">
    <mergeCell ref="S3:U3"/>
    <mergeCell ref="S7:U7"/>
    <mergeCell ref="S11:U11"/>
  </mergeCells>
  <conditionalFormatting sqref="P22:R24">
    <cfRule type="expression" dxfId="0" priority="1">
      <formula>AND(W4=TRUE)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FF68-DD41-694C-B824-BB4786E7D898}">
  <sheetPr codeName="Sheet3"/>
  <dimension ref="B1:Z52"/>
  <sheetViews>
    <sheetView zoomScale="25" zoomScaleNormal="32" workbookViewId="0">
      <selection activeCell="I4" sqref="I4"/>
    </sheetView>
  </sheetViews>
  <sheetFormatPr baseColWidth="10" defaultRowHeight="29"/>
  <cols>
    <col min="1" max="3" width="10.83203125" style="47"/>
    <col min="4" max="4" width="6.5" style="47" bestFit="1" customWidth="1"/>
    <col min="5" max="5" width="30" style="47" bestFit="1" customWidth="1"/>
    <col min="6" max="17" width="27.83203125" style="47" bestFit="1" customWidth="1"/>
    <col min="18" max="19" width="10.83203125" style="47"/>
    <col min="20" max="20" width="8.33203125" style="47" bestFit="1" customWidth="1"/>
    <col min="21" max="23" width="10.83203125" style="47"/>
    <col min="24" max="24" width="14.1640625" style="47" bestFit="1" customWidth="1"/>
    <col min="25" max="25" width="3.6640625" style="47" bestFit="1" customWidth="1"/>
    <col min="26" max="26" width="9.33203125" style="47" bestFit="1" customWidth="1"/>
    <col min="27" max="16384" width="10.83203125" style="47"/>
  </cols>
  <sheetData>
    <row r="1" spans="2:26">
      <c r="K1" s="78"/>
    </row>
    <row r="2" spans="2:26" ht="55" customHeight="1">
      <c r="B2" s="47">
        <v>123</v>
      </c>
      <c r="D2" s="72"/>
      <c r="E2" s="102" t="s">
        <v>9</v>
      </c>
      <c r="F2" s="102"/>
      <c r="G2" s="102"/>
      <c r="H2" s="102"/>
      <c r="I2" s="102"/>
      <c r="J2" s="102"/>
      <c r="K2" s="102"/>
      <c r="L2" s="102"/>
      <c r="M2" s="102"/>
      <c r="N2" s="102"/>
      <c r="O2" s="102"/>
      <c r="T2" s="73">
        <f ca="1">RANDBETWEEN(1,100)</f>
        <v>48</v>
      </c>
      <c r="X2" s="47" t="s">
        <v>21</v>
      </c>
      <c r="Y2" s="47" t="s">
        <v>20</v>
      </c>
      <c r="Z2" s="47">
        <f ca="1">SUM(T2:T18)</f>
        <v>1006</v>
      </c>
    </row>
    <row r="3" spans="2:26" ht="55" customHeight="1">
      <c r="D3" s="75"/>
      <c r="E3" s="76">
        <v>1</v>
      </c>
      <c r="F3" s="76">
        <v>2</v>
      </c>
      <c r="G3" s="76">
        <v>3</v>
      </c>
      <c r="H3" s="76">
        <v>4</v>
      </c>
      <c r="I3" s="76">
        <v>5</v>
      </c>
      <c r="J3" s="76">
        <v>6</v>
      </c>
      <c r="K3" s="76">
        <v>7</v>
      </c>
      <c r="L3" s="76">
        <v>8</v>
      </c>
      <c r="M3" s="76">
        <v>9</v>
      </c>
      <c r="N3" s="76">
        <v>10</v>
      </c>
      <c r="O3" s="76">
        <v>11</v>
      </c>
      <c r="P3" s="76">
        <v>12</v>
      </c>
      <c r="Q3" s="76">
        <v>13</v>
      </c>
      <c r="T3" s="73">
        <f t="shared" ref="T3:T18" ca="1" si="0">RANDBETWEEN(1,100)</f>
        <v>48</v>
      </c>
      <c r="X3" s="47" t="s">
        <v>27</v>
      </c>
      <c r="Y3" s="47" t="s">
        <v>20</v>
      </c>
      <c r="Z3" s="47">
        <f ca="1">AVERAGE(T2:T18)</f>
        <v>59.176470588235297</v>
      </c>
    </row>
    <row r="4" spans="2:26" ht="55" customHeight="1">
      <c r="D4" s="77">
        <v>1</v>
      </c>
      <c r="E4" s="79">
        <f>$D4/E$3</f>
        <v>1</v>
      </c>
      <c r="F4" s="79">
        <f t="shared" ref="F4:Q17" si="1">$D4/F$3</f>
        <v>0.5</v>
      </c>
      <c r="G4" s="79">
        <f t="shared" si="1"/>
        <v>0.33333333333333331</v>
      </c>
      <c r="H4" s="79">
        <f t="shared" si="1"/>
        <v>0.25</v>
      </c>
      <c r="I4" s="79">
        <f t="shared" si="1"/>
        <v>0.2</v>
      </c>
      <c r="J4" s="79">
        <f t="shared" si="1"/>
        <v>0.16666666666666666</v>
      </c>
      <c r="K4" s="79">
        <f t="shared" si="1"/>
        <v>0.14285714285714285</v>
      </c>
      <c r="L4" s="79">
        <f t="shared" si="1"/>
        <v>0.125</v>
      </c>
      <c r="M4" s="79">
        <f t="shared" si="1"/>
        <v>0.1111111111111111</v>
      </c>
      <c r="N4" s="79">
        <f t="shared" si="1"/>
        <v>0.1</v>
      </c>
      <c r="O4" s="79">
        <f t="shared" si="1"/>
        <v>9.0909090909090912E-2</v>
      </c>
      <c r="P4" s="79">
        <f t="shared" si="1"/>
        <v>8.3333333333333329E-2</v>
      </c>
      <c r="Q4" s="79">
        <f t="shared" si="1"/>
        <v>7.6923076923076927E-2</v>
      </c>
      <c r="T4" s="73">
        <f t="shared" ca="1" si="0"/>
        <v>98</v>
      </c>
    </row>
    <row r="5" spans="2:26" ht="55" customHeight="1">
      <c r="D5" s="77">
        <v>2</v>
      </c>
      <c r="E5" s="79">
        <f t="shared" ref="E5:E17" si="2">$D5/E$3</f>
        <v>2</v>
      </c>
      <c r="F5" s="79">
        <f t="shared" si="1"/>
        <v>1</v>
      </c>
      <c r="G5" s="79">
        <f t="shared" si="1"/>
        <v>0.66666666666666663</v>
      </c>
      <c r="H5" s="79">
        <f t="shared" si="1"/>
        <v>0.5</v>
      </c>
      <c r="I5" s="79">
        <f t="shared" si="1"/>
        <v>0.4</v>
      </c>
      <c r="J5" s="79">
        <f t="shared" si="1"/>
        <v>0.33333333333333331</v>
      </c>
      <c r="K5" s="79">
        <f t="shared" si="1"/>
        <v>0.2857142857142857</v>
      </c>
      <c r="L5" s="79">
        <f t="shared" si="1"/>
        <v>0.25</v>
      </c>
      <c r="M5" s="79">
        <f t="shared" si="1"/>
        <v>0.22222222222222221</v>
      </c>
      <c r="N5" s="79">
        <f t="shared" si="1"/>
        <v>0.2</v>
      </c>
      <c r="O5" s="79">
        <f t="shared" si="1"/>
        <v>0.18181818181818182</v>
      </c>
      <c r="P5" s="79">
        <f t="shared" si="1"/>
        <v>0.16666666666666666</v>
      </c>
      <c r="Q5" s="79">
        <f t="shared" si="1"/>
        <v>0.15384615384615385</v>
      </c>
      <c r="T5" s="73">
        <f t="shared" ca="1" si="0"/>
        <v>51</v>
      </c>
    </row>
    <row r="6" spans="2:26" ht="55" customHeight="1">
      <c r="D6" s="77">
        <v>3</v>
      </c>
      <c r="E6" s="79">
        <f t="shared" si="2"/>
        <v>3</v>
      </c>
      <c r="F6" s="79">
        <f t="shared" si="1"/>
        <v>1.5</v>
      </c>
      <c r="G6" s="79">
        <f t="shared" si="1"/>
        <v>1</v>
      </c>
      <c r="H6" s="79">
        <f>$D6/H$3</f>
        <v>0.75</v>
      </c>
      <c r="I6" s="79">
        <f t="shared" si="1"/>
        <v>0.6</v>
      </c>
      <c r="J6" s="79">
        <f t="shared" si="1"/>
        <v>0.5</v>
      </c>
      <c r="K6" s="79">
        <f t="shared" si="1"/>
        <v>0.42857142857142855</v>
      </c>
      <c r="L6" s="79">
        <f t="shared" si="1"/>
        <v>0.375</v>
      </c>
      <c r="M6" s="79">
        <f t="shared" si="1"/>
        <v>0.33333333333333331</v>
      </c>
      <c r="N6" s="79">
        <f t="shared" si="1"/>
        <v>0.3</v>
      </c>
      <c r="O6" s="79">
        <f t="shared" si="1"/>
        <v>0.27272727272727271</v>
      </c>
      <c r="P6" s="79">
        <f t="shared" si="1"/>
        <v>0.25</v>
      </c>
      <c r="Q6" s="79">
        <f t="shared" si="1"/>
        <v>0.23076923076923078</v>
      </c>
      <c r="T6" s="73">
        <f t="shared" ca="1" si="0"/>
        <v>18</v>
      </c>
    </row>
    <row r="7" spans="2:26" ht="55" customHeight="1">
      <c r="D7" s="77">
        <v>4</v>
      </c>
      <c r="E7" s="79">
        <f t="shared" si="2"/>
        <v>4</v>
      </c>
      <c r="F7" s="79">
        <f t="shared" si="1"/>
        <v>2</v>
      </c>
      <c r="G7" s="79">
        <f t="shared" si="1"/>
        <v>1.3333333333333333</v>
      </c>
      <c r="H7" s="79">
        <f t="shared" si="1"/>
        <v>1</v>
      </c>
      <c r="I7" s="79">
        <f t="shared" si="1"/>
        <v>0.8</v>
      </c>
      <c r="J7" s="79">
        <f t="shared" si="1"/>
        <v>0.66666666666666663</v>
      </c>
      <c r="K7" s="79">
        <f t="shared" si="1"/>
        <v>0.5714285714285714</v>
      </c>
      <c r="L7" s="79">
        <f t="shared" si="1"/>
        <v>0.5</v>
      </c>
      <c r="M7" s="79">
        <f t="shared" si="1"/>
        <v>0.44444444444444442</v>
      </c>
      <c r="N7" s="79">
        <f t="shared" si="1"/>
        <v>0.4</v>
      </c>
      <c r="O7" s="79">
        <f t="shared" si="1"/>
        <v>0.36363636363636365</v>
      </c>
      <c r="P7" s="79">
        <f t="shared" si="1"/>
        <v>0.33333333333333331</v>
      </c>
      <c r="Q7" s="79">
        <f t="shared" si="1"/>
        <v>0.30769230769230771</v>
      </c>
      <c r="T7" s="73">
        <f t="shared" ca="1" si="0"/>
        <v>38</v>
      </c>
    </row>
    <row r="8" spans="2:26" ht="55" customHeight="1">
      <c r="D8" s="77">
        <v>5</v>
      </c>
      <c r="E8" s="79">
        <f t="shared" si="2"/>
        <v>5</v>
      </c>
      <c r="F8" s="79">
        <f t="shared" si="1"/>
        <v>2.5</v>
      </c>
      <c r="G8" s="79">
        <f t="shared" si="1"/>
        <v>1.6666666666666667</v>
      </c>
      <c r="H8" s="79">
        <f t="shared" si="1"/>
        <v>1.25</v>
      </c>
      <c r="I8" s="79">
        <f t="shared" si="1"/>
        <v>1</v>
      </c>
      <c r="J8" s="79">
        <f t="shared" si="1"/>
        <v>0.83333333333333337</v>
      </c>
      <c r="K8" s="79">
        <f>$D8/K$3</f>
        <v>0.7142857142857143</v>
      </c>
      <c r="L8" s="79">
        <f t="shared" si="1"/>
        <v>0.625</v>
      </c>
      <c r="M8" s="79">
        <f t="shared" si="1"/>
        <v>0.55555555555555558</v>
      </c>
      <c r="N8" s="79">
        <f t="shared" si="1"/>
        <v>0.5</v>
      </c>
      <c r="O8" s="79">
        <f t="shared" si="1"/>
        <v>0.45454545454545453</v>
      </c>
      <c r="P8" s="79">
        <f t="shared" si="1"/>
        <v>0.41666666666666669</v>
      </c>
      <c r="Q8" s="79">
        <f t="shared" si="1"/>
        <v>0.38461538461538464</v>
      </c>
      <c r="T8" s="73">
        <f t="shared" ca="1" si="0"/>
        <v>73</v>
      </c>
    </row>
    <row r="9" spans="2:26" ht="55" customHeight="1">
      <c r="D9" s="77">
        <v>6</v>
      </c>
      <c r="E9" s="79">
        <f t="shared" si="2"/>
        <v>6</v>
      </c>
      <c r="F9" s="79">
        <f t="shared" si="1"/>
        <v>3</v>
      </c>
      <c r="G9" s="79">
        <f t="shared" si="1"/>
        <v>2</v>
      </c>
      <c r="H9" s="79">
        <f t="shared" si="1"/>
        <v>1.5</v>
      </c>
      <c r="I9" s="79">
        <f t="shared" si="1"/>
        <v>1.2</v>
      </c>
      <c r="J9" s="79">
        <f t="shared" si="1"/>
        <v>1</v>
      </c>
      <c r="K9" s="79">
        <f t="shared" si="1"/>
        <v>0.8571428571428571</v>
      </c>
      <c r="L9" s="79">
        <f t="shared" si="1"/>
        <v>0.75</v>
      </c>
      <c r="M9" s="79">
        <f t="shared" si="1"/>
        <v>0.66666666666666663</v>
      </c>
      <c r="N9" s="79">
        <f t="shared" si="1"/>
        <v>0.6</v>
      </c>
      <c r="O9" s="79">
        <f t="shared" si="1"/>
        <v>0.54545454545454541</v>
      </c>
      <c r="P9" s="79">
        <f t="shared" si="1"/>
        <v>0.5</v>
      </c>
      <c r="Q9" s="79">
        <f t="shared" si="1"/>
        <v>0.46153846153846156</v>
      </c>
      <c r="T9" s="73">
        <f t="shared" ca="1" si="0"/>
        <v>8</v>
      </c>
    </row>
    <row r="10" spans="2:26" ht="55" customHeight="1">
      <c r="D10" s="77">
        <v>7</v>
      </c>
      <c r="E10" s="79">
        <f t="shared" si="2"/>
        <v>7</v>
      </c>
      <c r="F10" s="79">
        <f t="shared" si="1"/>
        <v>3.5</v>
      </c>
      <c r="G10" s="79">
        <f t="shared" si="1"/>
        <v>2.3333333333333335</v>
      </c>
      <c r="H10" s="79">
        <f t="shared" si="1"/>
        <v>1.75</v>
      </c>
      <c r="I10" s="79">
        <f t="shared" si="1"/>
        <v>1.4</v>
      </c>
      <c r="J10" s="79">
        <f t="shared" si="1"/>
        <v>1.1666666666666667</v>
      </c>
      <c r="K10" s="79">
        <f t="shared" si="1"/>
        <v>1</v>
      </c>
      <c r="L10" s="79">
        <f t="shared" si="1"/>
        <v>0.875</v>
      </c>
      <c r="M10" s="79">
        <f t="shared" si="1"/>
        <v>0.77777777777777779</v>
      </c>
      <c r="N10" s="79">
        <f t="shared" si="1"/>
        <v>0.7</v>
      </c>
      <c r="O10" s="79">
        <f t="shared" si="1"/>
        <v>0.63636363636363635</v>
      </c>
      <c r="P10" s="79">
        <f t="shared" si="1"/>
        <v>0.58333333333333337</v>
      </c>
      <c r="Q10" s="79">
        <f t="shared" si="1"/>
        <v>0.53846153846153844</v>
      </c>
      <c r="T10" s="73">
        <f t="shared" ca="1" si="0"/>
        <v>75</v>
      </c>
    </row>
    <row r="11" spans="2:26" ht="55" customHeight="1">
      <c r="D11" s="77">
        <v>8</v>
      </c>
      <c r="E11" s="79">
        <f t="shared" si="2"/>
        <v>8</v>
      </c>
      <c r="F11" s="79">
        <f t="shared" si="1"/>
        <v>4</v>
      </c>
      <c r="G11" s="79">
        <f t="shared" si="1"/>
        <v>2.6666666666666665</v>
      </c>
      <c r="H11" s="79">
        <f t="shared" si="1"/>
        <v>2</v>
      </c>
      <c r="I11" s="79">
        <f t="shared" si="1"/>
        <v>1.6</v>
      </c>
      <c r="J11" s="79">
        <f t="shared" si="1"/>
        <v>1.3333333333333333</v>
      </c>
      <c r="K11" s="79">
        <f>$D11/K$3</f>
        <v>1.1428571428571428</v>
      </c>
      <c r="L11" s="79">
        <f t="shared" si="1"/>
        <v>1</v>
      </c>
      <c r="M11" s="79">
        <f t="shared" si="1"/>
        <v>0.88888888888888884</v>
      </c>
      <c r="N11" s="79">
        <f t="shared" si="1"/>
        <v>0.8</v>
      </c>
      <c r="O11" s="79">
        <f t="shared" si="1"/>
        <v>0.72727272727272729</v>
      </c>
      <c r="P11" s="79">
        <f t="shared" si="1"/>
        <v>0.66666666666666663</v>
      </c>
      <c r="Q11" s="79">
        <f t="shared" si="1"/>
        <v>0.61538461538461542</v>
      </c>
      <c r="T11" s="73">
        <f t="shared" ca="1" si="0"/>
        <v>60</v>
      </c>
    </row>
    <row r="12" spans="2:26" ht="55" customHeight="1">
      <c r="D12" s="77">
        <v>9</v>
      </c>
      <c r="E12" s="79">
        <f t="shared" si="2"/>
        <v>9</v>
      </c>
      <c r="F12" s="79">
        <f t="shared" si="1"/>
        <v>4.5</v>
      </c>
      <c r="G12" s="79">
        <f t="shared" si="1"/>
        <v>3</v>
      </c>
      <c r="H12" s="79">
        <f t="shared" si="1"/>
        <v>2.25</v>
      </c>
      <c r="I12" s="79">
        <f t="shared" si="1"/>
        <v>1.8</v>
      </c>
      <c r="J12" s="79">
        <f t="shared" si="1"/>
        <v>1.5</v>
      </c>
      <c r="K12" s="79">
        <f t="shared" si="1"/>
        <v>1.2857142857142858</v>
      </c>
      <c r="L12" s="79">
        <f t="shared" si="1"/>
        <v>1.125</v>
      </c>
      <c r="M12" s="79">
        <f t="shared" si="1"/>
        <v>1</v>
      </c>
      <c r="N12" s="79">
        <f t="shared" si="1"/>
        <v>0.9</v>
      </c>
      <c r="O12" s="79">
        <f t="shared" si="1"/>
        <v>0.81818181818181823</v>
      </c>
      <c r="P12" s="79">
        <f t="shared" si="1"/>
        <v>0.75</v>
      </c>
      <c r="Q12" s="79">
        <f t="shared" si="1"/>
        <v>0.69230769230769229</v>
      </c>
      <c r="T12" s="73">
        <f t="shared" ca="1" si="0"/>
        <v>94</v>
      </c>
    </row>
    <row r="13" spans="2:26" ht="55" customHeight="1">
      <c r="D13" s="77">
        <v>10</v>
      </c>
      <c r="E13" s="79">
        <f t="shared" si="2"/>
        <v>10</v>
      </c>
      <c r="F13" s="79">
        <f t="shared" si="1"/>
        <v>5</v>
      </c>
      <c r="G13" s="79">
        <f t="shared" si="1"/>
        <v>3.3333333333333335</v>
      </c>
      <c r="H13" s="79">
        <f t="shared" si="1"/>
        <v>2.5</v>
      </c>
      <c r="I13" s="79">
        <f>$D13/I$3</f>
        <v>2</v>
      </c>
      <c r="J13" s="79">
        <f t="shared" si="1"/>
        <v>1.6666666666666667</v>
      </c>
      <c r="K13" s="79">
        <f t="shared" si="1"/>
        <v>1.4285714285714286</v>
      </c>
      <c r="L13" s="79">
        <f t="shared" si="1"/>
        <v>1.25</v>
      </c>
      <c r="M13" s="79">
        <f t="shared" si="1"/>
        <v>1.1111111111111112</v>
      </c>
      <c r="N13" s="79">
        <f t="shared" si="1"/>
        <v>1</v>
      </c>
      <c r="O13" s="79">
        <f t="shared" si="1"/>
        <v>0.90909090909090906</v>
      </c>
      <c r="P13" s="79">
        <f t="shared" si="1"/>
        <v>0.83333333333333337</v>
      </c>
      <c r="Q13" s="79">
        <f t="shared" si="1"/>
        <v>0.76923076923076927</v>
      </c>
      <c r="T13" s="73">
        <f t="shared" ca="1" si="0"/>
        <v>98</v>
      </c>
    </row>
    <row r="14" spans="2:26" ht="55" customHeight="1">
      <c r="D14" s="77">
        <v>11</v>
      </c>
      <c r="E14" s="79">
        <f t="shared" si="2"/>
        <v>11</v>
      </c>
      <c r="F14" s="79">
        <f t="shared" si="1"/>
        <v>5.5</v>
      </c>
      <c r="G14" s="79">
        <f t="shared" si="1"/>
        <v>3.6666666666666665</v>
      </c>
      <c r="H14" s="79">
        <f t="shared" si="1"/>
        <v>2.75</v>
      </c>
      <c r="I14" s="79">
        <f t="shared" si="1"/>
        <v>2.2000000000000002</v>
      </c>
      <c r="J14" s="79">
        <f t="shared" si="1"/>
        <v>1.8333333333333333</v>
      </c>
      <c r="K14" s="79">
        <f t="shared" si="1"/>
        <v>1.5714285714285714</v>
      </c>
      <c r="L14" s="79">
        <f t="shared" si="1"/>
        <v>1.375</v>
      </c>
      <c r="M14" s="79">
        <f t="shared" si="1"/>
        <v>1.2222222222222223</v>
      </c>
      <c r="N14" s="79">
        <f t="shared" si="1"/>
        <v>1.1000000000000001</v>
      </c>
      <c r="O14" s="79">
        <f t="shared" si="1"/>
        <v>1</v>
      </c>
      <c r="P14" s="79">
        <f t="shared" si="1"/>
        <v>0.91666666666666663</v>
      </c>
      <c r="Q14" s="79">
        <f t="shared" si="1"/>
        <v>0.84615384615384615</v>
      </c>
      <c r="T14" s="73">
        <f t="shared" ca="1" si="0"/>
        <v>77</v>
      </c>
    </row>
    <row r="15" spans="2:26" ht="50" customHeight="1">
      <c r="D15" s="77">
        <v>12</v>
      </c>
      <c r="E15" s="79">
        <f t="shared" si="2"/>
        <v>12</v>
      </c>
      <c r="F15" s="79">
        <f t="shared" si="1"/>
        <v>6</v>
      </c>
      <c r="G15" s="79">
        <f t="shared" si="1"/>
        <v>4</v>
      </c>
      <c r="H15" s="79">
        <f t="shared" si="1"/>
        <v>3</v>
      </c>
      <c r="I15" s="79">
        <f t="shared" si="1"/>
        <v>2.4</v>
      </c>
      <c r="J15" s="79">
        <f t="shared" si="1"/>
        <v>2</v>
      </c>
      <c r="K15" s="79">
        <f t="shared" si="1"/>
        <v>1.7142857142857142</v>
      </c>
      <c r="L15" s="79">
        <f t="shared" si="1"/>
        <v>1.5</v>
      </c>
      <c r="M15" s="79">
        <f t="shared" si="1"/>
        <v>1.3333333333333333</v>
      </c>
      <c r="N15" s="79">
        <f t="shared" si="1"/>
        <v>1.2</v>
      </c>
      <c r="O15" s="79">
        <f t="shared" si="1"/>
        <v>1.0909090909090908</v>
      </c>
      <c r="P15" s="79">
        <f t="shared" si="1"/>
        <v>1</v>
      </c>
      <c r="Q15" s="79">
        <f t="shared" si="1"/>
        <v>0.92307692307692313</v>
      </c>
      <c r="T15" s="73">
        <f t="shared" ca="1" si="0"/>
        <v>84</v>
      </c>
    </row>
    <row r="16" spans="2:26" ht="50" customHeight="1">
      <c r="D16" s="77">
        <v>13</v>
      </c>
      <c r="E16" s="79">
        <f t="shared" si="2"/>
        <v>13</v>
      </c>
      <c r="F16" s="79">
        <f t="shared" si="1"/>
        <v>6.5</v>
      </c>
      <c r="G16" s="79">
        <f t="shared" si="1"/>
        <v>4.333333333333333</v>
      </c>
      <c r="H16" s="79">
        <f t="shared" si="1"/>
        <v>3.25</v>
      </c>
      <c r="I16" s="79">
        <f t="shared" si="1"/>
        <v>2.6</v>
      </c>
      <c r="J16" s="79">
        <f t="shared" si="1"/>
        <v>2.1666666666666665</v>
      </c>
      <c r="K16" s="79">
        <f t="shared" si="1"/>
        <v>1.8571428571428572</v>
      </c>
      <c r="L16" s="79">
        <f t="shared" si="1"/>
        <v>1.625</v>
      </c>
      <c r="M16" s="79">
        <f t="shared" si="1"/>
        <v>1.4444444444444444</v>
      </c>
      <c r="N16" s="79">
        <f t="shared" si="1"/>
        <v>1.3</v>
      </c>
      <c r="O16" s="79">
        <f t="shared" si="1"/>
        <v>1.1818181818181819</v>
      </c>
      <c r="P16" s="79">
        <f t="shared" si="1"/>
        <v>1.0833333333333333</v>
      </c>
      <c r="Q16" s="79">
        <f t="shared" si="1"/>
        <v>1</v>
      </c>
      <c r="T16" s="73">
        <f t="shared" ca="1" si="0"/>
        <v>19</v>
      </c>
    </row>
    <row r="17" spans="5:20" ht="50" customHeight="1">
      <c r="E17" s="79">
        <f t="shared" si="2"/>
        <v>0</v>
      </c>
      <c r="F17" s="79">
        <f t="shared" si="1"/>
        <v>0</v>
      </c>
      <c r="G17" s="79">
        <f t="shared" si="1"/>
        <v>0</v>
      </c>
      <c r="H17" s="79">
        <f t="shared" si="1"/>
        <v>0</v>
      </c>
      <c r="I17" s="79">
        <f t="shared" si="1"/>
        <v>0</v>
      </c>
      <c r="J17" s="79">
        <f t="shared" si="1"/>
        <v>0</v>
      </c>
      <c r="K17" s="79">
        <f t="shared" si="1"/>
        <v>0</v>
      </c>
      <c r="L17" s="79">
        <f t="shared" si="1"/>
        <v>0</v>
      </c>
      <c r="M17" s="79">
        <f t="shared" si="1"/>
        <v>0</v>
      </c>
      <c r="N17" s="79">
        <f t="shared" si="1"/>
        <v>0</v>
      </c>
      <c r="O17" s="79">
        <f t="shared" si="1"/>
        <v>0</v>
      </c>
      <c r="P17" s="79">
        <f t="shared" si="1"/>
        <v>0</v>
      </c>
      <c r="Q17" s="79">
        <f t="shared" si="1"/>
        <v>0</v>
      </c>
      <c r="T17" s="73">
        <f t="shared" ca="1" si="0"/>
        <v>74</v>
      </c>
    </row>
    <row r="18" spans="5:20" ht="50" customHeight="1">
      <c r="T18" s="73">
        <f t="shared" ca="1" si="0"/>
        <v>43</v>
      </c>
    </row>
    <row r="19" spans="5:20" ht="34">
      <c r="T19" s="73"/>
    </row>
    <row r="20" spans="5:20" ht="34">
      <c r="E20" s="47">
        <v>1</v>
      </c>
      <c r="F20" s="47">
        <v>1</v>
      </c>
      <c r="G20" s="47">
        <v>1</v>
      </c>
      <c r="H20" s="47">
        <v>1</v>
      </c>
      <c r="I20" s="47">
        <v>1</v>
      </c>
      <c r="J20" s="47">
        <v>1</v>
      </c>
      <c r="K20" s="47">
        <v>1</v>
      </c>
      <c r="T20" s="73"/>
    </row>
    <row r="21" spans="5:20" ht="34">
      <c r="T21" s="73"/>
    </row>
    <row r="22" spans="5:20" ht="34">
      <c r="T22" s="73"/>
    </row>
    <row r="23" spans="5:20" ht="34">
      <c r="T23" s="73"/>
    </row>
    <row r="24" spans="5:20" ht="34">
      <c r="T24" s="73"/>
    </row>
    <row r="25" spans="5:20" ht="34">
      <c r="T25" s="73"/>
    </row>
    <row r="26" spans="5:20" ht="34">
      <c r="T26" s="73"/>
    </row>
    <row r="27" spans="5:20" ht="34">
      <c r="T27" s="73"/>
    </row>
    <row r="28" spans="5:20" ht="34">
      <c r="T28" s="73"/>
    </row>
    <row r="29" spans="5:20" ht="34">
      <c r="T29" s="73"/>
    </row>
    <row r="30" spans="5:20" ht="34">
      <c r="T30" s="73"/>
    </row>
    <row r="31" spans="5:20" ht="34">
      <c r="T31" s="73"/>
    </row>
    <row r="32" spans="5:20" ht="34">
      <c r="T32" s="73"/>
    </row>
    <row r="33" spans="20:20" ht="34">
      <c r="T33" s="73"/>
    </row>
    <row r="34" spans="20:20" ht="34">
      <c r="T34" s="73"/>
    </row>
    <row r="35" spans="20:20" ht="34">
      <c r="T35" s="73"/>
    </row>
    <row r="36" spans="20:20" ht="34">
      <c r="T36" s="73"/>
    </row>
    <row r="37" spans="20:20" ht="34">
      <c r="T37" s="73"/>
    </row>
    <row r="38" spans="20:20" ht="34">
      <c r="T38" s="73"/>
    </row>
    <row r="39" spans="20:20" ht="34">
      <c r="T39" s="73"/>
    </row>
    <row r="40" spans="20:20" ht="34">
      <c r="T40" s="73"/>
    </row>
    <row r="41" spans="20:20" ht="34">
      <c r="T41" s="73"/>
    </row>
    <row r="42" spans="20:20" ht="34">
      <c r="T42" s="73"/>
    </row>
    <row r="43" spans="20:20" ht="34">
      <c r="T43" s="73"/>
    </row>
    <row r="44" spans="20:20" ht="34">
      <c r="T44" s="73"/>
    </row>
    <row r="45" spans="20:20" ht="34">
      <c r="T45" s="73"/>
    </row>
    <row r="46" spans="20:20" ht="34">
      <c r="T46" s="73"/>
    </row>
    <row r="47" spans="20:20" ht="34">
      <c r="T47" s="73"/>
    </row>
    <row r="48" spans="20:20" ht="34">
      <c r="T48" s="73"/>
    </row>
    <row r="49" spans="20:20" ht="34">
      <c r="T49" s="73"/>
    </row>
    <row r="50" spans="20:20" ht="34">
      <c r="T50" s="73"/>
    </row>
    <row r="51" spans="20:20" ht="34">
      <c r="T51" s="73"/>
    </row>
    <row r="52" spans="20:20" ht="34">
      <c r="T52" s="74"/>
    </row>
  </sheetData>
  <mergeCells count="1">
    <mergeCell ref="E2:O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AA2C-4178-E24D-8D3C-79DBC177F8D4}">
  <sheetPr codeName="Sheet9"/>
  <dimension ref="C5:K36"/>
  <sheetViews>
    <sheetView topLeftCell="A13" zoomScaleNormal="100" workbookViewId="0">
      <selection activeCell="D31" sqref="D31"/>
    </sheetView>
  </sheetViews>
  <sheetFormatPr baseColWidth="10" defaultRowHeight="16"/>
  <sheetData>
    <row r="5" spans="3:10">
      <c r="C5">
        <v>0</v>
      </c>
      <c r="D5">
        <f>C5+1</f>
        <v>1</v>
      </c>
      <c r="E5">
        <f t="shared" ref="E5:J5" si="0">D5+1</f>
        <v>2</v>
      </c>
      <c r="F5">
        <f t="shared" si="0"/>
        <v>3</v>
      </c>
      <c r="G5">
        <f t="shared" si="0"/>
        <v>4</v>
      </c>
      <c r="H5">
        <f t="shared" si="0"/>
        <v>5</v>
      </c>
      <c r="I5">
        <f t="shared" si="0"/>
        <v>6</v>
      </c>
      <c r="J5">
        <f t="shared" si="0"/>
        <v>7</v>
      </c>
    </row>
    <row r="6" spans="3:10">
      <c r="C6">
        <f>C5+1</f>
        <v>1</v>
      </c>
      <c r="D6">
        <f>MIN(D5+1,C6+1)</f>
        <v>2</v>
      </c>
      <c r="E6">
        <f t="shared" ref="E6:J6" si="1">MIN(E5+1,D6+1)</f>
        <v>3</v>
      </c>
      <c r="F6">
        <f t="shared" si="1"/>
        <v>4</v>
      </c>
      <c r="G6">
        <f t="shared" si="1"/>
        <v>5</v>
      </c>
      <c r="H6">
        <f t="shared" si="1"/>
        <v>6</v>
      </c>
      <c r="I6">
        <f t="shared" si="1"/>
        <v>7</v>
      </c>
      <c r="J6">
        <f t="shared" si="1"/>
        <v>8</v>
      </c>
    </row>
    <row r="7" spans="3:10">
      <c r="C7">
        <f t="shared" ref="C7:C20" si="2">C6+1</f>
        <v>2</v>
      </c>
      <c r="D7">
        <f t="shared" ref="D7:D20" si="3">MIN(D6+1,C7+1)</f>
        <v>3</v>
      </c>
      <c r="E7">
        <f t="shared" ref="E7:E10" si="4">MIN(E6+1,D7+1)</f>
        <v>4</v>
      </c>
      <c r="F7">
        <f t="shared" ref="F7:F20" si="5">MIN(F6+1,E7+1)</f>
        <v>5</v>
      </c>
      <c r="G7">
        <f t="shared" ref="G7:G20" si="6">MIN(G6+1,F7+1)</f>
        <v>6</v>
      </c>
      <c r="H7">
        <f t="shared" ref="H7:H20" si="7">MIN(H6+1,G7+1)</f>
        <v>7</v>
      </c>
      <c r="I7">
        <f t="shared" ref="I7:I20" si="8">MIN(I6+1,H7+1)</f>
        <v>8</v>
      </c>
      <c r="J7">
        <f t="shared" ref="J7:J20" si="9">MIN(J6+1,I7+1)</f>
        <v>9</v>
      </c>
    </row>
    <row r="8" spans="3:10">
      <c r="C8">
        <f t="shared" si="2"/>
        <v>3</v>
      </c>
      <c r="D8">
        <f t="shared" si="3"/>
        <v>4</v>
      </c>
      <c r="E8">
        <f t="shared" si="4"/>
        <v>5</v>
      </c>
      <c r="F8">
        <f t="shared" si="5"/>
        <v>6</v>
      </c>
      <c r="G8">
        <f t="shared" si="6"/>
        <v>7</v>
      </c>
      <c r="H8">
        <f t="shared" si="7"/>
        <v>8</v>
      </c>
      <c r="I8">
        <f t="shared" si="8"/>
        <v>9</v>
      </c>
      <c r="J8">
        <f t="shared" si="9"/>
        <v>10</v>
      </c>
    </row>
    <row r="9" spans="3:10">
      <c r="C9">
        <f t="shared" si="2"/>
        <v>4</v>
      </c>
      <c r="D9">
        <f t="shared" si="3"/>
        <v>5</v>
      </c>
      <c r="E9">
        <f t="shared" si="4"/>
        <v>6</v>
      </c>
      <c r="F9">
        <f t="shared" si="5"/>
        <v>7</v>
      </c>
      <c r="G9">
        <f t="shared" si="6"/>
        <v>8</v>
      </c>
      <c r="H9">
        <f t="shared" si="7"/>
        <v>9</v>
      </c>
      <c r="I9">
        <f t="shared" si="8"/>
        <v>10</v>
      </c>
      <c r="J9">
        <f t="shared" si="9"/>
        <v>11</v>
      </c>
    </row>
    <row r="10" spans="3:10">
      <c r="C10">
        <f t="shared" si="2"/>
        <v>5</v>
      </c>
      <c r="D10">
        <f t="shared" si="3"/>
        <v>6</v>
      </c>
      <c r="E10">
        <f t="shared" si="4"/>
        <v>7</v>
      </c>
      <c r="F10">
        <f t="shared" si="5"/>
        <v>8</v>
      </c>
      <c r="G10">
        <f t="shared" si="6"/>
        <v>9</v>
      </c>
      <c r="H10">
        <f t="shared" si="7"/>
        <v>10</v>
      </c>
      <c r="I10">
        <f t="shared" si="8"/>
        <v>11</v>
      </c>
      <c r="J10">
        <f t="shared" si="9"/>
        <v>12</v>
      </c>
    </row>
    <row r="11" spans="3:10">
      <c r="C11">
        <f t="shared" si="2"/>
        <v>6</v>
      </c>
      <c r="D11">
        <f t="shared" si="3"/>
        <v>7</v>
      </c>
      <c r="E11">
        <v>1000</v>
      </c>
      <c r="F11">
        <f t="shared" si="5"/>
        <v>9</v>
      </c>
      <c r="G11">
        <f t="shared" si="6"/>
        <v>10</v>
      </c>
      <c r="H11">
        <f t="shared" si="7"/>
        <v>11</v>
      </c>
      <c r="I11">
        <f t="shared" si="8"/>
        <v>12</v>
      </c>
      <c r="J11">
        <f t="shared" si="9"/>
        <v>13</v>
      </c>
    </row>
    <row r="12" spans="3:10">
      <c r="C12">
        <f t="shared" si="2"/>
        <v>7</v>
      </c>
      <c r="D12">
        <f t="shared" si="3"/>
        <v>8</v>
      </c>
      <c r="E12">
        <v>1000</v>
      </c>
      <c r="F12">
        <f t="shared" si="5"/>
        <v>10</v>
      </c>
      <c r="G12">
        <f t="shared" si="6"/>
        <v>11</v>
      </c>
      <c r="H12">
        <f t="shared" si="7"/>
        <v>12</v>
      </c>
      <c r="I12">
        <f t="shared" si="8"/>
        <v>13</v>
      </c>
      <c r="J12">
        <f t="shared" si="9"/>
        <v>14</v>
      </c>
    </row>
    <row r="13" spans="3:10">
      <c r="C13">
        <f t="shared" si="2"/>
        <v>8</v>
      </c>
      <c r="D13">
        <f t="shared" si="3"/>
        <v>9</v>
      </c>
      <c r="E13">
        <v>1000</v>
      </c>
      <c r="F13">
        <f t="shared" si="5"/>
        <v>11</v>
      </c>
      <c r="G13">
        <f t="shared" si="6"/>
        <v>12</v>
      </c>
      <c r="H13">
        <f t="shared" si="7"/>
        <v>13</v>
      </c>
      <c r="I13">
        <f t="shared" si="8"/>
        <v>14</v>
      </c>
      <c r="J13">
        <f t="shared" si="9"/>
        <v>15</v>
      </c>
    </row>
    <row r="14" spans="3:10">
      <c r="C14">
        <f t="shared" si="2"/>
        <v>9</v>
      </c>
      <c r="D14">
        <f t="shared" si="3"/>
        <v>10</v>
      </c>
      <c r="E14">
        <v>1000</v>
      </c>
      <c r="F14">
        <f t="shared" si="5"/>
        <v>12</v>
      </c>
      <c r="G14">
        <f t="shared" si="6"/>
        <v>13</v>
      </c>
      <c r="H14">
        <f t="shared" si="7"/>
        <v>14</v>
      </c>
      <c r="I14">
        <f t="shared" si="8"/>
        <v>15</v>
      </c>
      <c r="J14">
        <f t="shared" si="9"/>
        <v>16</v>
      </c>
    </row>
    <row r="15" spans="3:10">
      <c r="C15">
        <f t="shared" si="2"/>
        <v>10</v>
      </c>
      <c r="D15">
        <f t="shared" si="3"/>
        <v>11</v>
      </c>
      <c r="E15">
        <v>1000</v>
      </c>
      <c r="F15">
        <f t="shared" si="5"/>
        <v>13</v>
      </c>
      <c r="G15">
        <f t="shared" si="6"/>
        <v>14</v>
      </c>
      <c r="H15">
        <f t="shared" si="7"/>
        <v>15</v>
      </c>
      <c r="I15">
        <f t="shared" si="8"/>
        <v>16</v>
      </c>
      <c r="J15">
        <f t="shared" si="9"/>
        <v>17</v>
      </c>
    </row>
    <row r="16" spans="3:10">
      <c r="C16">
        <f t="shared" si="2"/>
        <v>11</v>
      </c>
      <c r="D16">
        <f t="shared" si="3"/>
        <v>12</v>
      </c>
      <c r="E16">
        <v>1000</v>
      </c>
      <c r="F16">
        <f t="shared" si="5"/>
        <v>14</v>
      </c>
      <c r="G16">
        <f t="shared" si="6"/>
        <v>15</v>
      </c>
      <c r="H16">
        <f t="shared" si="7"/>
        <v>16</v>
      </c>
      <c r="I16">
        <f t="shared" si="8"/>
        <v>17</v>
      </c>
      <c r="J16">
        <f t="shared" si="9"/>
        <v>18</v>
      </c>
    </row>
    <row r="17" spans="3:11">
      <c r="C17">
        <f t="shared" si="2"/>
        <v>12</v>
      </c>
      <c r="D17">
        <f t="shared" si="3"/>
        <v>13</v>
      </c>
      <c r="E17">
        <v>1000</v>
      </c>
      <c r="F17">
        <f t="shared" si="5"/>
        <v>15</v>
      </c>
      <c r="G17">
        <f t="shared" si="6"/>
        <v>16</v>
      </c>
      <c r="H17">
        <f t="shared" si="7"/>
        <v>17</v>
      </c>
      <c r="I17">
        <f t="shared" si="8"/>
        <v>18</v>
      </c>
      <c r="J17">
        <f t="shared" si="9"/>
        <v>19</v>
      </c>
    </row>
    <row r="18" spans="3:11">
      <c r="C18">
        <f t="shared" si="2"/>
        <v>13</v>
      </c>
      <c r="D18">
        <f t="shared" si="3"/>
        <v>14</v>
      </c>
      <c r="E18">
        <v>1000</v>
      </c>
      <c r="F18">
        <f t="shared" si="5"/>
        <v>16</v>
      </c>
      <c r="G18">
        <f t="shared" si="6"/>
        <v>17</v>
      </c>
      <c r="H18">
        <f t="shared" si="7"/>
        <v>18</v>
      </c>
      <c r="I18">
        <f t="shared" si="8"/>
        <v>19</v>
      </c>
      <c r="J18">
        <f t="shared" si="9"/>
        <v>20</v>
      </c>
    </row>
    <row r="19" spans="3:11">
      <c r="C19">
        <f t="shared" si="2"/>
        <v>14</v>
      </c>
      <c r="D19">
        <f t="shared" si="3"/>
        <v>15</v>
      </c>
      <c r="E19">
        <v>1000</v>
      </c>
      <c r="F19">
        <f t="shared" si="5"/>
        <v>17</v>
      </c>
      <c r="G19">
        <f t="shared" si="6"/>
        <v>18</v>
      </c>
      <c r="H19">
        <f t="shared" si="7"/>
        <v>19</v>
      </c>
      <c r="I19">
        <f t="shared" si="8"/>
        <v>20</v>
      </c>
      <c r="J19">
        <f t="shared" si="9"/>
        <v>21</v>
      </c>
    </row>
    <row r="20" spans="3:11">
      <c r="C20">
        <f t="shared" si="2"/>
        <v>15</v>
      </c>
      <c r="D20">
        <f t="shared" si="3"/>
        <v>16</v>
      </c>
      <c r="E20">
        <v>1000</v>
      </c>
      <c r="F20">
        <f t="shared" si="5"/>
        <v>18</v>
      </c>
      <c r="G20">
        <f t="shared" si="6"/>
        <v>19</v>
      </c>
      <c r="H20">
        <f t="shared" si="7"/>
        <v>20</v>
      </c>
      <c r="I20">
        <f t="shared" si="8"/>
        <v>21</v>
      </c>
      <c r="J20">
        <f t="shared" si="9"/>
        <v>22</v>
      </c>
    </row>
    <row r="24" spans="3:11">
      <c r="C24">
        <v>0</v>
      </c>
      <c r="D24">
        <f>C24+1</f>
        <v>1</v>
      </c>
      <c r="E24">
        <f t="shared" ref="E24:K24" si="10">D24+1</f>
        <v>2</v>
      </c>
      <c r="F24">
        <f t="shared" si="10"/>
        <v>3</v>
      </c>
      <c r="G24">
        <f t="shared" si="10"/>
        <v>4</v>
      </c>
      <c r="H24">
        <f t="shared" si="10"/>
        <v>5</v>
      </c>
      <c r="I24">
        <f t="shared" si="10"/>
        <v>6</v>
      </c>
      <c r="J24">
        <f t="shared" si="10"/>
        <v>7</v>
      </c>
      <c r="K24">
        <f t="shared" si="10"/>
        <v>8</v>
      </c>
    </row>
    <row r="25" spans="3:11">
      <c r="C25">
        <f>C24+1</f>
        <v>1</v>
      </c>
      <c r="D25">
        <f>$C$25*D$24</f>
        <v>1</v>
      </c>
      <c r="E25">
        <f t="shared" ref="E25:K25" si="11">$C$25*E$24</f>
        <v>2</v>
      </c>
      <c r="F25">
        <f t="shared" si="11"/>
        <v>3</v>
      </c>
      <c r="G25">
        <f t="shared" si="11"/>
        <v>4</v>
      </c>
      <c r="H25">
        <f t="shared" si="11"/>
        <v>5</v>
      </c>
      <c r="I25">
        <f t="shared" si="11"/>
        <v>6</v>
      </c>
      <c r="J25">
        <f t="shared" si="11"/>
        <v>7</v>
      </c>
      <c r="K25">
        <f t="shared" si="11"/>
        <v>8</v>
      </c>
    </row>
    <row r="26" spans="3:11">
      <c r="C26">
        <f t="shared" ref="C26:C36" si="12">C25+1</f>
        <v>2</v>
      </c>
      <c r="D26">
        <f t="shared" ref="D26:K26" si="13">C26+1</f>
        <v>3</v>
      </c>
      <c r="E26">
        <f t="shared" si="13"/>
        <v>4</v>
      </c>
      <c r="F26">
        <f t="shared" si="13"/>
        <v>5</v>
      </c>
      <c r="G26">
        <f t="shared" si="13"/>
        <v>6</v>
      </c>
      <c r="H26">
        <f t="shared" si="13"/>
        <v>7</v>
      </c>
      <c r="I26">
        <f t="shared" si="13"/>
        <v>8</v>
      </c>
      <c r="J26">
        <f t="shared" si="13"/>
        <v>9</v>
      </c>
      <c r="K26">
        <f t="shared" si="13"/>
        <v>10</v>
      </c>
    </row>
    <row r="27" spans="3:11">
      <c r="C27">
        <f t="shared" si="12"/>
        <v>3</v>
      </c>
      <c r="D27">
        <f t="shared" ref="D27:K27" si="14">C27+1</f>
        <v>4</v>
      </c>
      <c r="E27">
        <f t="shared" si="14"/>
        <v>5</v>
      </c>
      <c r="F27">
        <f t="shared" si="14"/>
        <v>6</v>
      </c>
      <c r="G27">
        <f t="shared" si="14"/>
        <v>7</v>
      </c>
      <c r="H27">
        <f t="shared" si="14"/>
        <v>8</v>
      </c>
      <c r="I27">
        <f t="shared" si="14"/>
        <v>9</v>
      </c>
      <c r="J27">
        <f t="shared" si="14"/>
        <v>10</v>
      </c>
      <c r="K27">
        <f t="shared" si="14"/>
        <v>11</v>
      </c>
    </row>
    <row r="28" spans="3:11">
      <c r="C28">
        <f t="shared" si="12"/>
        <v>4</v>
      </c>
      <c r="D28">
        <f t="shared" ref="D28:K28" si="15">C28+1</f>
        <v>5</v>
      </c>
      <c r="E28">
        <f t="shared" si="15"/>
        <v>6</v>
      </c>
      <c r="F28">
        <f t="shared" si="15"/>
        <v>7</v>
      </c>
      <c r="G28">
        <f t="shared" si="15"/>
        <v>8</v>
      </c>
      <c r="H28">
        <f t="shared" si="15"/>
        <v>9</v>
      </c>
      <c r="I28">
        <f t="shared" si="15"/>
        <v>10</v>
      </c>
      <c r="J28">
        <f t="shared" si="15"/>
        <v>11</v>
      </c>
      <c r="K28">
        <f t="shared" si="15"/>
        <v>12</v>
      </c>
    </row>
    <row r="29" spans="3:11">
      <c r="C29">
        <f t="shared" si="12"/>
        <v>5</v>
      </c>
      <c r="D29">
        <f t="shared" ref="D29:K29" si="16">C29+1</f>
        <v>6</v>
      </c>
      <c r="E29">
        <f t="shared" si="16"/>
        <v>7</v>
      </c>
      <c r="F29">
        <f t="shared" si="16"/>
        <v>8</v>
      </c>
      <c r="G29">
        <f t="shared" si="16"/>
        <v>9</v>
      </c>
      <c r="H29">
        <f t="shared" si="16"/>
        <v>10</v>
      </c>
      <c r="I29">
        <f t="shared" si="16"/>
        <v>11</v>
      </c>
      <c r="J29">
        <f t="shared" si="16"/>
        <v>12</v>
      </c>
      <c r="K29">
        <f t="shared" si="16"/>
        <v>13</v>
      </c>
    </row>
    <row r="30" spans="3:11">
      <c r="C30">
        <f t="shared" si="12"/>
        <v>6</v>
      </c>
      <c r="D30">
        <f t="shared" ref="D30:K30" si="17">C30+1</f>
        <v>7</v>
      </c>
      <c r="E30">
        <f t="shared" si="17"/>
        <v>8</v>
      </c>
      <c r="F30">
        <f t="shared" si="17"/>
        <v>9</v>
      </c>
      <c r="G30">
        <f t="shared" si="17"/>
        <v>10</v>
      </c>
      <c r="H30">
        <f t="shared" si="17"/>
        <v>11</v>
      </c>
      <c r="I30">
        <f t="shared" si="17"/>
        <v>12</v>
      </c>
      <c r="J30">
        <f t="shared" si="17"/>
        <v>13</v>
      </c>
      <c r="K30">
        <f t="shared" si="17"/>
        <v>14</v>
      </c>
    </row>
    <row r="31" spans="3:11">
      <c r="C31">
        <f t="shared" si="12"/>
        <v>7</v>
      </c>
      <c r="D31">
        <f t="shared" ref="D31:K31" si="18">C31+1</f>
        <v>8</v>
      </c>
      <c r="E31">
        <f t="shared" si="18"/>
        <v>9</v>
      </c>
      <c r="F31">
        <f t="shared" si="18"/>
        <v>10</v>
      </c>
      <c r="G31">
        <f t="shared" si="18"/>
        <v>11</v>
      </c>
      <c r="H31">
        <f t="shared" si="18"/>
        <v>12</v>
      </c>
      <c r="I31">
        <f t="shared" si="18"/>
        <v>13</v>
      </c>
      <c r="J31">
        <f t="shared" si="18"/>
        <v>14</v>
      </c>
      <c r="K31">
        <f t="shared" si="18"/>
        <v>15</v>
      </c>
    </row>
    <row r="32" spans="3:11">
      <c r="C32">
        <f t="shared" si="12"/>
        <v>8</v>
      </c>
      <c r="D32">
        <f t="shared" ref="D32:K32" si="19">C32+1</f>
        <v>9</v>
      </c>
      <c r="E32">
        <f t="shared" si="19"/>
        <v>10</v>
      </c>
      <c r="F32">
        <f t="shared" si="19"/>
        <v>11</v>
      </c>
      <c r="G32">
        <f t="shared" si="19"/>
        <v>12</v>
      </c>
      <c r="H32">
        <f t="shared" si="19"/>
        <v>13</v>
      </c>
      <c r="I32">
        <f t="shared" si="19"/>
        <v>14</v>
      </c>
      <c r="J32">
        <f t="shared" si="19"/>
        <v>15</v>
      </c>
      <c r="K32">
        <f t="shared" si="19"/>
        <v>16</v>
      </c>
    </row>
    <row r="33" spans="3:11">
      <c r="C33">
        <f t="shared" si="12"/>
        <v>9</v>
      </c>
      <c r="D33">
        <f t="shared" ref="D33:K33" si="20">C33+1</f>
        <v>10</v>
      </c>
      <c r="E33">
        <f t="shared" si="20"/>
        <v>11</v>
      </c>
      <c r="F33">
        <f t="shared" si="20"/>
        <v>12</v>
      </c>
      <c r="G33">
        <f t="shared" si="20"/>
        <v>13</v>
      </c>
      <c r="H33">
        <f t="shared" si="20"/>
        <v>14</v>
      </c>
      <c r="I33">
        <f t="shared" si="20"/>
        <v>15</v>
      </c>
      <c r="J33">
        <f t="shared" si="20"/>
        <v>16</v>
      </c>
      <c r="K33">
        <f t="shared" si="20"/>
        <v>17</v>
      </c>
    </row>
    <row r="34" spans="3:11">
      <c r="C34">
        <f t="shared" si="12"/>
        <v>10</v>
      </c>
      <c r="D34">
        <f t="shared" ref="D34:K34" si="21">C34+1</f>
        <v>11</v>
      </c>
      <c r="E34">
        <f t="shared" si="21"/>
        <v>12</v>
      </c>
      <c r="F34">
        <f t="shared" si="21"/>
        <v>13</v>
      </c>
      <c r="G34">
        <f t="shared" si="21"/>
        <v>14</v>
      </c>
      <c r="H34">
        <f t="shared" si="21"/>
        <v>15</v>
      </c>
      <c r="I34">
        <f t="shared" si="21"/>
        <v>16</v>
      </c>
      <c r="J34">
        <f t="shared" si="21"/>
        <v>17</v>
      </c>
      <c r="K34">
        <f t="shared" si="21"/>
        <v>18</v>
      </c>
    </row>
    <row r="35" spans="3:11">
      <c r="C35">
        <f t="shared" si="12"/>
        <v>11</v>
      </c>
      <c r="D35">
        <f t="shared" ref="D35:K35" si="22">C35+1</f>
        <v>12</v>
      </c>
      <c r="E35">
        <f t="shared" si="22"/>
        <v>13</v>
      </c>
      <c r="F35">
        <f t="shared" si="22"/>
        <v>14</v>
      </c>
      <c r="G35">
        <f t="shared" si="22"/>
        <v>15</v>
      </c>
      <c r="H35">
        <f t="shared" si="22"/>
        <v>16</v>
      </c>
      <c r="I35">
        <f t="shared" si="22"/>
        <v>17</v>
      </c>
      <c r="J35">
        <f t="shared" si="22"/>
        <v>18</v>
      </c>
      <c r="K35">
        <f t="shared" si="22"/>
        <v>19</v>
      </c>
    </row>
    <row r="36" spans="3:11">
      <c r="C36">
        <f t="shared" si="12"/>
        <v>12</v>
      </c>
      <c r="D36">
        <f t="shared" ref="D36:K36" si="23">C36+1</f>
        <v>13</v>
      </c>
      <c r="E36">
        <f t="shared" si="23"/>
        <v>14</v>
      </c>
      <c r="F36">
        <f t="shared" si="23"/>
        <v>15</v>
      </c>
      <c r="G36">
        <f t="shared" si="23"/>
        <v>16</v>
      </c>
      <c r="H36">
        <f t="shared" si="23"/>
        <v>17</v>
      </c>
      <c r="I36">
        <f t="shared" si="23"/>
        <v>18</v>
      </c>
      <c r="J36">
        <f t="shared" si="23"/>
        <v>19</v>
      </c>
      <c r="K36">
        <f t="shared" si="23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Connect5</vt:lpstr>
      <vt:lpstr>Compund</vt:lpstr>
      <vt:lpstr>5W3S</vt:lpstr>
      <vt:lpstr>Mul Table</vt:lpstr>
      <vt:lpstr>Pascal Triangle</vt:lpstr>
      <vt:lpstr>Sheet2</vt:lpstr>
      <vt:lpstr>Sheet3</vt:lpstr>
      <vt:lpstr>Sheet4</vt:lpstr>
      <vt:lpstr>TicTacToe</vt:lpstr>
      <vt:lpstr>Time Table</vt:lpstr>
      <vt:lpstr>maze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Chung-Wen Tsao</dc:creator>
  <cp:lastModifiedBy>Microsoft Office User</cp:lastModifiedBy>
  <dcterms:created xsi:type="dcterms:W3CDTF">2018-05-29T15:19:15Z</dcterms:created>
  <dcterms:modified xsi:type="dcterms:W3CDTF">2019-07-01T13:43:44Z</dcterms:modified>
</cp:coreProperties>
</file>